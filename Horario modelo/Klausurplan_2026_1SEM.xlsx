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C:\Users\cbrener\Downloads\"/>
    </mc:Choice>
  </mc:AlternateContent>
  <xr:revisionPtr revIDLastSave="1192" documentId="13_ncr:1_{7D36E145-B5AD-4243-86D8-D9E12A769BE8}" xr6:coauthVersionLast="47" xr6:coauthVersionMax="47" xr10:uidLastSave="{9BC70215-412D-48DE-9CED-D5C3DD71DC42}"/>
  <bookViews>
    <workbookView xWindow="-28920" yWindow="-120" windowWidth="29040" windowHeight="15720" firstSheet="8" activeTab="5" xr2:uid="{00000000-000D-0000-FFFF-FFFF00000000}"/>
  </bookViews>
  <sheets>
    <sheet name="Planungshilfe 1.Sem" sheetId="53" state="hidden" r:id="rId1"/>
    <sheet name="Planungshilfe 2.Sem" sheetId="56" state="hidden" r:id="rId2"/>
    <sheet name="9C1" sheetId="33" r:id="rId3"/>
    <sheet name="9C2" sheetId="46" r:id="rId4"/>
    <sheet name="10C1" sheetId="47" r:id="rId5"/>
    <sheet name="10C2" sheetId="48" r:id="rId6"/>
    <sheet name="11C1" sheetId="49" r:id="rId7"/>
    <sheet name="11C2" sheetId="50" r:id="rId8"/>
    <sheet name="12C1" sheetId="54" r:id="rId9"/>
    <sheet name="12C2" sheetId="55" r:id="rId10"/>
    <sheet name="Tabelle1" sheetId="57" state="hidden" r:id="rId11"/>
  </sheets>
  <definedNames>
    <definedName name="_xlnm.Print_Area" localSheetId="0">'Planungshilfe 1.Sem'!$A$1:$K$65</definedName>
    <definedName name="_xlnm.Print_Area" localSheetId="1">'Planungshilfe 2.Sem'!$A$1:$K$62</definedName>
    <definedName name="_xlnm.Print_Area" localSheetId="2">'9C1'!$A$1:$J$71</definedName>
    <definedName name="_xlnm.Print_Area" localSheetId="3">'9C2'!$A$1:$J$71</definedName>
    <definedName name="_xlnm.Print_Area" localSheetId="4">'10C1'!$A$1:$J$71</definedName>
    <definedName name="_xlnm.Print_Area" localSheetId="5">'10C2'!$A$1:$J$71</definedName>
    <definedName name="_xlnm.Print_Area" localSheetId="6">'11C1'!$A$1:$J$71</definedName>
    <definedName name="_xlnm.Print_Area" localSheetId="7">'11C2'!$A$1:$J$71</definedName>
    <definedName name="_xlnm.Print_Area" localSheetId="9">'12C2'!$A$1:$J$71</definedName>
    <definedName name="_xlnm.Print_Area" localSheetId="8">'12C1'!$A$29:$L$71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50" l="1"/>
  <c r="M25" i="54" s="1"/>
  <c r="M35" i="55" s="1"/>
  <c r="L27" i="50"/>
  <c r="L25" i="54" s="1"/>
  <c r="L35" i="55" s="1"/>
  <c r="M26" i="50"/>
  <c r="M24" i="54" s="1"/>
  <c r="M34" i="55" s="1"/>
  <c r="L26" i="50"/>
  <c r="L24" i="54" s="1"/>
  <c r="L34" i="55" s="1"/>
  <c r="L25" i="50"/>
  <c r="L23" i="54" s="1"/>
  <c r="L33" i="55" s="1"/>
  <c r="A6" i="56"/>
  <c r="A9" i="56"/>
  <c r="A12" i="56"/>
  <c r="A15" i="56"/>
  <c r="A18" i="56"/>
  <c r="A21" i="56"/>
  <c r="A24" i="56"/>
  <c r="A27" i="56"/>
  <c r="A30" i="56"/>
  <c r="A33" i="56"/>
  <c r="A36" i="56"/>
  <c r="A39" i="56"/>
  <c r="A42" i="56"/>
  <c r="A45" i="56"/>
  <c r="A48" i="56"/>
  <c r="A51" i="56"/>
  <c r="A54" i="56"/>
  <c r="A57" i="56"/>
  <c r="A60" i="56"/>
  <c r="D3" i="56"/>
  <c r="B6" i="56"/>
  <c r="D6" i="56"/>
  <c r="B9" i="56"/>
  <c r="D9" i="56"/>
  <c r="B12" i="56"/>
  <c r="D12" i="56"/>
  <c r="B15" i="56"/>
  <c r="D15" i="56"/>
  <c r="B18" i="56"/>
  <c r="D18" i="56"/>
  <c r="B21" i="56"/>
  <c r="D21" i="56"/>
  <c r="B24" i="56"/>
  <c r="D24" i="56"/>
  <c r="B27" i="56"/>
  <c r="D27" i="56"/>
  <c r="B30" i="56"/>
  <c r="D30" i="56"/>
  <c r="B33" i="56"/>
  <c r="D33" i="56"/>
  <c r="B36" i="56"/>
  <c r="D36" i="56"/>
  <c r="B39" i="56"/>
  <c r="D39" i="56"/>
  <c r="B42" i="56"/>
  <c r="D42" i="56"/>
  <c r="B45" i="56"/>
  <c r="D45" i="56"/>
  <c r="B48" i="56"/>
  <c r="D48" i="56"/>
  <c r="B51" i="56"/>
  <c r="D51" i="56"/>
  <c r="B54" i="56"/>
  <c r="D54" i="56"/>
  <c r="B57" i="56"/>
  <c r="D57" i="56"/>
  <c r="B60" i="56"/>
  <c r="D60" i="56"/>
  <c r="A6" i="55"/>
  <c r="A9" i="55"/>
  <c r="A12" i="55"/>
  <c r="A15" i="55"/>
  <c r="A18" i="55"/>
  <c r="A21" i="55"/>
  <c r="A24" i="55"/>
  <c r="A27" i="55"/>
  <c r="A30" i="55"/>
  <c r="A33" i="55"/>
  <c r="A36" i="55"/>
  <c r="A39" i="55"/>
  <c r="A42" i="55"/>
  <c r="A45" i="55"/>
  <c r="A48" i="55"/>
  <c r="A51" i="55"/>
  <c r="A54" i="55"/>
  <c r="A57" i="55"/>
  <c r="A60" i="55"/>
  <c r="A63" i="55"/>
  <c r="A66" i="55"/>
  <c r="A69" i="55"/>
  <c r="D3" i="55"/>
  <c r="B6" i="55"/>
  <c r="D6" i="55"/>
  <c r="B9" i="55"/>
  <c r="D9" i="55"/>
  <c r="B12" i="55"/>
  <c r="D12" i="55"/>
  <c r="B15" i="55"/>
  <c r="D15" i="55"/>
  <c r="B18" i="55"/>
  <c r="D18" i="55"/>
  <c r="B21" i="55"/>
  <c r="D21" i="55"/>
  <c r="B24" i="55"/>
  <c r="D24" i="55"/>
  <c r="B27" i="55"/>
  <c r="D27" i="55"/>
  <c r="B30" i="55"/>
  <c r="D30" i="55"/>
  <c r="B33" i="55"/>
  <c r="D33" i="55"/>
  <c r="B36" i="55"/>
  <c r="D36" i="55"/>
  <c r="B39" i="55"/>
  <c r="D39" i="55"/>
  <c r="B42" i="55"/>
  <c r="D42" i="55"/>
  <c r="B45" i="55"/>
  <c r="D45" i="55"/>
  <c r="B48" i="55"/>
  <c r="D48" i="55"/>
  <c r="B51" i="55"/>
  <c r="D51" i="55"/>
  <c r="B54" i="55"/>
  <c r="D54" i="55"/>
  <c r="B57" i="55"/>
  <c r="D57" i="55"/>
  <c r="B60" i="55"/>
  <c r="D60" i="55"/>
  <c r="B63" i="55"/>
  <c r="D63" i="55"/>
  <c r="B66" i="55"/>
  <c r="D66" i="55"/>
  <c r="B69" i="55"/>
  <c r="D69" i="55"/>
  <c r="A6" i="54"/>
  <c r="A9" i="54"/>
  <c r="A12" i="54"/>
  <c r="A15" i="54"/>
  <c r="A18" i="54"/>
  <c r="A21" i="54"/>
  <c r="A24" i="54"/>
  <c r="A27" i="54"/>
  <c r="A29" i="54"/>
  <c r="A32" i="54"/>
  <c r="A35" i="54"/>
  <c r="A38" i="54"/>
  <c r="A41" i="54"/>
  <c r="A44" i="54"/>
  <c r="A47" i="54"/>
  <c r="A50" i="54"/>
  <c r="A53" i="54"/>
  <c r="A56" i="54"/>
  <c r="A59" i="54"/>
  <c r="A62" i="54"/>
  <c r="A65" i="54"/>
  <c r="A68" i="54"/>
  <c r="D3" i="54"/>
  <c r="B6" i="54"/>
  <c r="D6" i="54"/>
  <c r="B9" i="54"/>
  <c r="D9" i="54"/>
  <c r="B12" i="54"/>
  <c r="D12" i="54"/>
  <c r="B15" i="54"/>
  <c r="D15" i="54"/>
  <c r="B18" i="54"/>
  <c r="D18" i="54"/>
  <c r="B21" i="54"/>
  <c r="D21" i="54"/>
  <c r="B24" i="54"/>
  <c r="D24" i="54"/>
  <c r="B27" i="54"/>
  <c r="D27" i="54"/>
  <c r="B29" i="54"/>
  <c r="D29" i="54"/>
  <c r="B32" i="54"/>
  <c r="D32" i="54"/>
  <c r="B35" i="54"/>
  <c r="D35" i="54"/>
  <c r="B38" i="54"/>
  <c r="D38" i="54"/>
  <c r="B41" i="54"/>
  <c r="D41" i="54"/>
  <c r="B44" i="54"/>
  <c r="D44" i="54"/>
  <c r="B47" i="54"/>
  <c r="D47" i="54"/>
  <c r="B50" i="54"/>
  <c r="D50" i="54"/>
  <c r="B53" i="54"/>
  <c r="D53" i="54"/>
  <c r="B56" i="54"/>
  <c r="D56" i="54"/>
  <c r="B59" i="54"/>
  <c r="D59" i="54"/>
  <c r="B62" i="54"/>
  <c r="D62" i="54"/>
  <c r="B65" i="54"/>
  <c r="D65" i="54"/>
  <c r="B68" i="54"/>
  <c r="D68" i="54"/>
  <c r="A6" i="53"/>
  <c r="A9" i="53"/>
  <c r="A12" i="53"/>
  <c r="A15" i="53"/>
  <c r="A18" i="53"/>
  <c r="A21" i="53"/>
  <c r="A24" i="53"/>
  <c r="A27" i="53"/>
  <c r="A30" i="53"/>
  <c r="A33" i="53"/>
  <c r="A36" i="53"/>
  <c r="A39" i="53"/>
  <c r="A42" i="53"/>
  <c r="A45" i="53"/>
  <c r="A48" i="53"/>
  <c r="A51" i="53"/>
  <c r="A54" i="53"/>
  <c r="A57" i="53"/>
  <c r="A60" i="53"/>
  <c r="A63" i="53"/>
  <c r="A66" i="53"/>
  <c r="A69" i="53"/>
  <c r="D3" i="53"/>
  <c r="B6" i="53"/>
  <c r="D6" i="53"/>
  <c r="B9" i="53"/>
  <c r="D9" i="53"/>
  <c r="B12" i="53"/>
  <c r="D12" i="53"/>
  <c r="B15" i="53"/>
  <c r="D15" i="53"/>
  <c r="B18" i="53"/>
  <c r="D18" i="53"/>
  <c r="B21" i="53"/>
  <c r="D21" i="53"/>
  <c r="B24" i="53"/>
  <c r="D24" i="53"/>
  <c r="B27" i="53"/>
  <c r="D27" i="53"/>
  <c r="B30" i="53"/>
  <c r="D30" i="53"/>
  <c r="B33" i="53"/>
  <c r="D33" i="53"/>
  <c r="B36" i="53"/>
  <c r="D36" i="53"/>
  <c r="B39" i="53"/>
  <c r="D39" i="53"/>
  <c r="B42" i="53"/>
  <c r="D42" i="53"/>
  <c r="B45" i="53"/>
  <c r="D45" i="53"/>
  <c r="B48" i="53"/>
  <c r="D48" i="53"/>
  <c r="B51" i="53"/>
  <c r="D51" i="53"/>
  <c r="B54" i="53"/>
  <c r="D54" i="53"/>
  <c r="B57" i="53"/>
  <c r="D57" i="53"/>
  <c r="B60" i="53"/>
  <c r="D60" i="53"/>
  <c r="B63" i="53"/>
  <c r="D63" i="53"/>
  <c r="B66" i="53"/>
  <c r="D66" i="53"/>
  <c r="B69" i="53"/>
  <c r="D69" i="53"/>
  <c r="A6" i="50"/>
  <c r="A9" i="50"/>
  <c r="A12" i="50"/>
  <c r="A15" i="50"/>
  <c r="A18" i="50"/>
  <c r="A21" i="50"/>
  <c r="A24" i="50"/>
  <c r="A27" i="50"/>
  <c r="A30" i="50"/>
  <c r="A33" i="50"/>
  <c r="A36" i="50"/>
  <c r="A39" i="50"/>
  <c r="A42" i="50"/>
  <c r="A45" i="50"/>
  <c r="A48" i="50"/>
  <c r="A51" i="50"/>
  <c r="A54" i="50"/>
  <c r="A57" i="50"/>
  <c r="A60" i="50"/>
  <c r="A63" i="50"/>
  <c r="A66" i="50"/>
  <c r="A69" i="50"/>
  <c r="D3" i="50"/>
  <c r="B6" i="50"/>
  <c r="D6" i="50"/>
  <c r="B9" i="50"/>
  <c r="D9" i="50"/>
  <c r="B12" i="50"/>
  <c r="D12" i="50"/>
  <c r="B15" i="50"/>
  <c r="D15" i="50"/>
  <c r="B18" i="50"/>
  <c r="D18" i="50"/>
  <c r="B21" i="50"/>
  <c r="D21" i="50"/>
  <c r="B24" i="50"/>
  <c r="D24" i="50"/>
  <c r="B27" i="50"/>
  <c r="D27" i="50"/>
  <c r="B30" i="50"/>
  <c r="D30" i="50"/>
  <c r="B33" i="50"/>
  <c r="D33" i="50"/>
  <c r="B36" i="50"/>
  <c r="D36" i="50"/>
  <c r="B39" i="50"/>
  <c r="D39" i="50"/>
  <c r="B42" i="50"/>
  <c r="D42" i="50"/>
  <c r="B45" i="50"/>
  <c r="D45" i="50"/>
  <c r="B48" i="50"/>
  <c r="D48" i="50"/>
  <c r="B51" i="50"/>
  <c r="D51" i="50"/>
  <c r="B54" i="50"/>
  <c r="D54" i="50"/>
  <c r="B57" i="50"/>
  <c r="D57" i="50"/>
  <c r="B60" i="50"/>
  <c r="D60" i="50"/>
  <c r="B63" i="50"/>
  <c r="D63" i="50"/>
  <c r="B66" i="50"/>
  <c r="D66" i="50"/>
  <c r="B69" i="50"/>
  <c r="D69" i="50"/>
  <c r="A6" i="49"/>
  <c r="A9" i="49"/>
  <c r="A12" i="49"/>
  <c r="A15" i="49"/>
  <c r="A18" i="49"/>
  <c r="A21" i="49"/>
  <c r="A24" i="49"/>
  <c r="A27" i="49"/>
  <c r="A30" i="49"/>
  <c r="A33" i="49"/>
  <c r="A36" i="49"/>
  <c r="A39" i="49"/>
  <c r="A42" i="49"/>
  <c r="A45" i="49"/>
  <c r="A48" i="49"/>
  <c r="A51" i="49"/>
  <c r="A54" i="49"/>
  <c r="A57" i="49"/>
  <c r="A60" i="49"/>
  <c r="A63" i="49"/>
  <c r="A66" i="49"/>
  <c r="A69" i="49"/>
  <c r="D3" i="49"/>
  <c r="B6" i="49"/>
  <c r="D6" i="49"/>
  <c r="B9" i="49"/>
  <c r="D9" i="49"/>
  <c r="B12" i="49"/>
  <c r="D12" i="49"/>
  <c r="B15" i="49"/>
  <c r="D15" i="49"/>
  <c r="B18" i="49"/>
  <c r="D18" i="49"/>
  <c r="B21" i="49"/>
  <c r="D21" i="49"/>
  <c r="B24" i="49"/>
  <c r="D24" i="49"/>
  <c r="B27" i="49"/>
  <c r="D27" i="49"/>
  <c r="B30" i="49"/>
  <c r="D30" i="49"/>
  <c r="B33" i="49"/>
  <c r="D33" i="49"/>
  <c r="B36" i="49"/>
  <c r="D36" i="49"/>
  <c r="B39" i="49"/>
  <c r="D39" i="49"/>
  <c r="B42" i="49"/>
  <c r="D42" i="49"/>
  <c r="B45" i="49"/>
  <c r="D45" i="49"/>
  <c r="B48" i="49"/>
  <c r="D48" i="49"/>
  <c r="B51" i="49"/>
  <c r="D51" i="49"/>
  <c r="B54" i="49"/>
  <c r="D54" i="49"/>
  <c r="B57" i="49"/>
  <c r="D57" i="49"/>
  <c r="B60" i="49"/>
  <c r="D60" i="49"/>
  <c r="B63" i="49"/>
  <c r="D63" i="49"/>
  <c r="B66" i="49"/>
  <c r="D66" i="49"/>
  <c r="B69" i="49"/>
  <c r="D69" i="49"/>
  <c r="A6" i="48"/>
  <c r="A9" i="48"/>
  <c r="A12" i="48"/>
  <c r="A15" i="48"/>
  <c r="A18" i="48"/>
  <c r="A21" i="48"/>
  <c r="A24" i="48"/>
  <c r="A27" i="48"/>
  <c r="A30" i="48"/>
  <c r="A33" i="48"/>
  <c r="A36" i="48"/>
  <c r="A39" i="48"/>
  <c r="A42" i="48"/>
  <c r="A45" i="48"/>
  <c r="A48" i="48"/>
  <c r="A51" i="48"/>
  <c r="A54" i="48"/>
  <c r="A57" i="48"/>
  <c r="A60" i="48"/>
  <c r="A63" i="48"/>
  <c r="A66" i="48"/>
  <c r="A69" i="48"/>
  <c r="D3" i="48"/>
  <c r="B6" i="48"/>
  <c r="D6" i="48"/>
  <c r="B9" i="48"/>
  <c r="D9" i="48"/>
  <c r="B12" i="48"/>
  <c r="D12" i="48"/>
  <c r="B15" i="48"/>
  <c r="D15" i="48"/>
  <c r="B18" i="48"/>
  <c r="D18" i="48"/>
  <c r="B21" i="48"/>
  <c r="D21" i="48"/>
  <c r="B24" i="48"/>
  <c r="D24" i="48"/>
  <c r="B27" i="48"/>
  <c r="D27" i="48"/>
  <c r="B30" i="48"/>
  <c r="D30" i="48"/>
  <c r="B33" i="48"/>
  <c r="D33" i="48"/>
  <c r="B36" i="48"/>
  <c r="D36" i="48"/>
  <c r="B39" i="48"/>
  <c r="D39" i="48"/>
  <c r="B42" i="48"/>
  <c r="D42" i="48"/>
  <c r="B45" i="48"/>
  <c r="D45" i="48"/>
  <c r="B48" i="48"/>
  <c r="D48" i="48"/>
  <c r="B51" i="48"/>
  <c r="D51" i="48"/>
  <c r="B54" i="48"/>
  <c r="D54" i="48"/>
  <c r="B57" i="48"/>
  <c r="D57" i="48"/>
  <c r="B60" i="48"/>
  <c r="D60" i="48"/>
  <c r="B63" i="48"/>
  <c r="D63" i="48"/>
  <c r="B66" i="48"/>
  <c r="D66" i="48"/>
  <c r="B69" i="48"/>
  <c r="D69" i="48"/>
  <c r="A6" i="47"/>
  <c r="A9" i="47"/>
  <c r="A12" i="47"/>
  <c r="A15" i="47"/>
  <c r="A18" i="47"/>
  <c r="A21" i="47"/>
  <c r="A24" i="47"/>
  <c r="A27" i="47"/>
  <c r="A30" i="47"/>
  <c r="A33" i="47"/>
  <c r="A36" i="47"/>
  <c r="A39" i="47"/>
  <c r="A42" i="47"/>
  <c r="A45" i="47"/>
  <c r="A48" i="47"/>
  <c r="A51" i="47"/>
  <c r="A54" i="47"/>
  <c r="A57" i="47"/>
  <c r="A60" i="47"/>
  <c r="A63" i="47"/>
  <c r="A66" i="47"/>
  <c r="A69" i="47"/>
  <c r="D3" i="47"/>
  <c r="B6" i="47"/>
  <c r="D6" i="47"/>
  <c r="B9" i="47"/>
  <c r="D9" i="47"/>
  <c r="B12" i="47"/>
  <c r="D12" i="47"/>
  <c r="B15" i="47"/>
  <c r="D15" i="47"/>
  <c r="B18" i="47"/>
  <c r="D18" i="47"/>
  <c r="B21" i="47"/>
  <c r="D21" i="47"/>
  <c r="B24" i="47"/>
  <c r="D24" i="47"/>
  <c r="B27" i="47"/>
  <c r="D27" i="47"/>
  <c r="B30" i="47"/>
  <c r="D30" i="47"/>
  <c r="B33" i="47"/>
  <c r="D33" i="47"/>
  <c r="B36" i="47"/>
  <c r="D36" i="47"/>
  <c r="B39" i="47"/>
  <c r="D39" i="47"/>
  <c r="B42" i="47"/>
  <c r="D42" i="47"/>
  <c r="B45" i="47"/>
  <c r="D45" i="47"/>
  <c r="B48" i="47"/>
  <c r="D48" i="47"/>
  <c r="B51" i="47"/>
  <c r="D51" i="47"/>
  <c r="B54" i="47"/>
  <c r="D54" i="47"/>
  <c r="B57" i="47"/>
  <c r="D57" i="47"/>
  <c r="B60" i="47"/>
  <c r="D60" i="47"/>
  <c r="B63" i="47"/>
  <c r="D63" i="47"/>
  <c r="B66" i="47"/>
  <c r="D66" i="47"/>
  <c r="B69" i="47"/>
  <c r="D69" i="47"/>
  <c r="A6" i="46"/>
  <c r="A9" i="46"/>
  <c r="A12" i="46"/>
  <c r="A15" i="46"/>
  <c r="A18" i="46"/>
  <c r="A21" i="46"/>
  <c r="A24" i="46"/>
  <c r="A27" i="46"/>
  <c r="A30" i="46"/>
  <c r="A33" i="46"/>
  <c r="A36" i="46"/>
  <c r="A39" i="46"/>
  <c r="A42" i="46"/>
  <c r="A45" i="46"/>
  <c r="A48" i="46"/>
  <c r="A51" i="46"/>
  <c r="A54" i="46"/>
  <c r="A57" i="46"/>
  <c r="A60" i="46"/>
  <c r="A63" i="46"/>
  <c r="A66" i="46"/>
  <c r="A69" i="46"/>
  <c r="D3" i="46"/>
  <c r="B6" i="46"/>
  <c r="D6" i="46"/>
  <c r="B9" i="46"/>
  <c r="D9" i="46"/>
  <c r="B12" i="46"/>
  <c r="D12" i="46"/>
  <c r="B15" i="46"/>
  <c r="D15" i="46"/>
  <c r="B18" i="46"/>
  <c r="D18" i="46"/>
  <c r="B21" i="46"/>
  <c r="D21" i="46"/>
  <c r="B24" i="46"/>
  <c r="D24" i="46"/>
  <c r="B27" i="46"/>
  <c r="D27" i="46"/>
  <c r="B30" i="46"/>
  <c r="D30" i="46"/>
  <c r="B33" i="46"/>
  <c r="D33" i="46"/>
  <c r="B36" i="46"/>
  <c r="D36" i="46"/>
  <c r="B39" i="46"/>
  <c r="D39" i="46"/>
  <c r="B42" i="46"/>
  <c r="D42" i="46"/>
  <c r="B45" i="46"/>
  <c r="D45" i="46"/>
  <c r="B48" i="46"/>
  <c r="D48" i="46"/>
  <c r="B51" i="46"/>
  <c r="D51" i="46"/>
  <c r="B54" i="46"/>
  <c r="D54" i="46"/>
  <c r="B57" i="46"/>
  <c r="D57" i="46"/>
  <c r="B60" i="46"/>
  <c r="D60" i="46"/>
  <c r="B63" i="46"/>
  <c r="D63" i="46"/>
  <c r="B66" i="46"/>
  <c r="D66" i="46"/>
  <c r="B69" i="46"/>
  <c r="D69" i="46"/>
  <c r="A6" i="33"/>
  <c r="A9" i="33"/>
  <c r="A12" i="33"/>
  <c r="A15" i="33"/>
  <c r="A18" i="33"/>
  <c r="A21" i="33"/>
  <c r="A24" i="33"/>
  <c r="A27" i="33"/>
  <c r="A30" i="33"/>
  <c r="A33" i="33"/>
  <c r="A36" i="33"/>
  <c r="A39" i="33"/>
  <c r="A42" i="33"/>
  <c r="A45" i="33"/>
  <c r="A48" i="33"/>
  <c r="A51" i="33"/>
  <c r="A54" i="33"/>
  <c r="A57" i="33"/>
  <c r="A60" i="33"/>
  <c r="A63" i="33"/>
  <c r="A66" i="33"/>
  <c r="A69" i="33"/>
  <c r="D3" i="33"/>
  <c r="B6" i="33"/>
  <c r="D6" i="33"/>
  <c r="B9" i="33"/>
  <c r="D9" i="33"/>
  <c r="B12" i="33"/>
  <c r="D12" i="33"/>
  <c r="B15" i="33"/>
  <c r="D15" i="33"/>
  <c r="B18" i="33"/>
  <c r="D18" i="33"/>
  <c r="B21" i="33"/>
  <c r="D21" i="33"/>
  <c r="B24" i="33"/>
  <c r="D24" i="33"/>
  <c r="B27" i="33"/>
  <c r="D27" i="33"/>
  <c r="B30" i="33"/>
  <c r="D30" i="33"/>
  <c r="B33" i="33"/>
  <c r="D33" i="33"/>
  <c r="B36" i="33"/>
  <c r="D36" i="33"/>
  <c r="B39" i="33"/>
  <c r="D39" i="33"/>
  <c r="B42" i="33"/>
  <c r="D42" i="33"/>
  <c r="B45" i="33"/>
  <c r="D45" i="33"/>
  <c r="B48" i="33"/>
  <c r="D48" i="33"/>
  <c r="B51" i="33"/>
  <c r="D51" i="33"/>
  <c r="B54" i="33"/>
  <c r="D54" i="33"/>
  <c r="B57" i="33"/>
  <c r="D57" i="33"/>
  <c r="B60" i="33"/>
  <c r="D60" i="33"/>
  <c r="B63" i="33"/>
  <c r="D63" i="33"/>
  <c r="B66" i="33"/>
  <c r="D66" i="33"/>
  <c r="B69" i="33"/>
  <c r="D69" i="33"/>
</calcChain>
</file>

<file path=xl/sharedStrings.xml><?xml version="1.0" encoding="utf-8"?>
<sst xmlns="http://schemas.openxmlformats.org/spreadsheetml/2006/main" count="1328" uniqueCount="208">
  <si>
    <t>Prüfungsplan Klasse 5R1 | Plano das Provas Turma 5R1</t>
  </si>
  <si>
    <t>Anzahl SuS |
Número alunos:</t>
  </si>
  <si>
    <t>ausfüllen| preencher</t>
  </si>
  <si>
    <t>SW</t>
  </si>
  <si>
    <t>Datum von bis</t>
  </si>
  <si>
    <t>Montag
Segunda</t>
  </si>
  <si>
    <t>Dienstag
Terça</t>
  </si>
  <si>
    <t>Mittwoch
Quarta</t>
  </si>
  <si>
    <t>Donnerstag
Quinta</t>
  </si>
  <si>
    <t>Freitag
Sexta</t>
  </si>
  <si>
    <t>Samstag
Sábado</t>
  </si>
  <si>
    <t>Bemerkungen</t>
  </si>
  <si>
    <t>-</t>
  </si>
  <si>
    <t>Fach | Lehrkraft</t>
  </si>
  <si>
    <t>Matéria | Prof.</t>
  </si>
  <si>
    <t>Raumwunsch</t>
  </si>
  <si>
    <t xml:space="preserve"> Solicitação Sala</t>
  </si>
  <si>
    <t>U-Stunden</t>
  </si>
  <si>
    <t>Horário</t>
  </si>
  <si>
    <t>Beispiel:</t>
  </si>
  <si>
    <t>Exemplo:</t>
  </si>
  <si>
    <t>Karnevalsferien |
Féria de Carnaval</t>
  </si>
  <si>
    <t>Mat | Sal</t>
  </si>
  <si>
    <t>Pgram | Jana</t>
  </si>
  <si>
    <t>Prüfungsraum</t>
  </si>
  <si>
    <t>Sala de Provas</t>
  </si>
  <si>
    <t>2.-3. Std.</t>
  </si>
  <si>
    <r>
      <t>2</t>
    </r>
    <r>
      <rPr>
        <vertAlign val="superscript"/>
        <sz val="10"/>
        <color rgb="FF0070C0"/>
        <rFont val="Arial"/>
        <family val="2"/>
      </rPr>
      <t>a</t>
    </r>
    <r>
      <rPr>
        <sz val="10"/>
        <color rgb="FF0070C0"/>
        <rFont val="Arial"/>
        <family val="2"/>
      </rPr>
      <t xml:space="preserve"> e 3</t>
    </r>
    <r>
      <rPr>
        <vertAlign val="superscript"/>
        <sz val="10"/>
        <color rgb="FF0070C0"/>
        <rFont val="Arial"/>
        <family val="2"/>
      </rPr>
      <t>a</t>
    </r>
    <r>
      <rPr>
        <sz val="10"/>
        <color rgb="FF0070C0"/>
        <rFont val="Arial"/>
        <family val="2"/>
      </rPr>
      <t xml:space="preserve"> aula</t>
    </r>
  </si>
  <si>
    <r>
      <t xml:space="preserve">Wird kein Raumwunsch angegeben, bleibt der aktuelle Raum aus dem Stundenplan; falls dies ein Fachraum ist und dies </t>
    </r>
    <r>
      <rPr>
        <u/>
        <sz val="10"/>
        <color rgb="FFC00000"/>
        <rFont val="Arial"/>
        <family val="2"/>
      </rPr>
      <t>nicht</t>
    </r>
    <r>
      <rPr>
        <sz val="10"/>
        <rFont val="Arial"/>
        <family val="2"/>
      </rPr>
      <t xml:space="preserve"> gewünscht ist, dort "Klassenraum" angeben.</t>
    </r>
  </si>
  <si>
    <t>Solicitação Sala</t>
  </si>
  <si>
    <r>
      <t xml:space="preserve">Se nenhuma preferência de sala for indicada, permanecerá a sala atual do horário escolar; caso se trate de uma sala especializada e isso </t>
    </r>
    <r>
      <rPr>
        <u/>
        <sz val="10"/>
        <color rgb="FFC00000"/>
        <rFont val="Arial"/>
        <family val="2"/>
      </rPr>
      <t>não</t>
    </r>
    <r>
      <rPr>
        <sz val="10"/>
        <rFont val="Arial"/>
        <family val="2"/>
      </rPr>
      <t xml:space="preserve"> seja desejado, indique “sala de aula”.</t>
    </r>
  </si>
  <si>
    <r>
      <rPr>
        <b/>
        <sz val="12"/>
        <color rgb="FFC00000"/>
        <rFont val="Arial"/>
        <family val="2"/>
      </rPr>
      <t>Nur Segmentleitung</t>
    </r>
    <r>
      <rPr>
        <b/>
        <sz val="12"/>
        <rFont val="Arial"/>
        <family val="2"/>
      </rPr>
      <t>: Folgende Termine markieren:</t>
    </r>
  </si>
  <si>
    <t>unterrichtsfrei | sem aula</t>
  </si>
  <si>
    <t>Nachschreibtermine | Segunda Chamada</t>
  </si>
  <si>
    <t>Osterferien | Férias de Páscoa</t>
  </si>
  <si>
    <t>Klassenfahrten | Viagem da Turma</t>
  </si>
  <si>
    <t>Woche der dt. Sprache | Semana da língua alemã</t>
  </si>
  <si>
    <t>Schulsamstag | Sábado letivo</t>
  </si>
  <si>
    <t>Schriftliches Abitur | Abitur escrito</t>
  </si>
  <si>
    <t>Mündliches Abitur |Abitur oral</t>
  </si>
  <si>
    <t>Feiertage | Feriados</t>
  </si>
  <si>
    <t>Feiertag | Feriado</t>
  </si>
  <si>
    <t>Kartoffelferien | Férias das batatas</t>
  </si>
  <si>
    <t>Prüfungsplan Klasse 9C1 | Plano das Provas Turma 9C1</t>
  </si>
  <si>
    <t>Anzahl SuS |
Número alunos: 19</t>
  </si>
  <si>
    <t>unterrichtsfrei sem aula</t>
  </si>
  <si>
    <r>
      <t>2</t>
    </r>
    <r>
      <rPr>
        <vertAlign val="superscript"/>
        <sz val="12"/>
        <color rgb="FF0070C0"/>
        <rFont val="Arial"/>
        <family val="2"/>
      </rPr>
      <t>a</t>
    </r>
    <r>
      <rPr>
        <sz val="12"/>
        <color rgb="FF0070C0"/>
        <rFont val="Arial"/>
        <family val="2"/>
      </rPr>
      <t xml:space="preserve"> e 3</t>
    </r>
    <r>
      <rPr>
        <vertAlign val="superscript"/>
        <sz val="12"/>
        <color rgb="FF0070C0"/>
        <rFont val="Arial"/>
        <family val="2"/>
      </rPr>
      <t>a</t>
    </r>
    <r>
      <rPr>
        <sz val="12"/>
        <color rgb="FF0070C0"/>
        <rFont val="Arial"/>
        <family val="2"/>
      </rPr>
      <t xml:space="preserve"> aula</t>
    </r>
  </si>
  <si>
    <t>SÁBADO LETIVO</t>
  </si>
  <si>
    <t>Pred - Raf</t>
  </si>
  <si>
    <t>BIO / ALE</t>
  </si>
  <si>
    <t>GL</t>
  </si>
  <si>
    <t>Sala de prova</t>
  </si>
  <si>
    <t>8º e 9º tempo</t>
  </si>
  <si>
    <t>6 Tempo</t>
  </si>
  <si>
    <t>1o e 2o tempos</t>
  </si>
  <si>
    <t>Sala de provas</t>
  </si>
  <si>
    <t>sala de aula</t>
  </si>
  <si>
    <t>Evitar a marcação de provas</t>
  </si>
  <si>
    <t>HIS / JuLa</t>
  </si>
  <si>
    <t>PORT/JANA</t>
  </si>
  <si>
    <t xml:space="preserve">ING / Apa-Pah-Velo </t>
  </si>
  <si>
    <t>DATAS IMPORTANTES</t>
  </si>
  <si>
    <t>6,7 TEMPOS</t>
  </si>
  <si>
    <t xml:space="preserve"> 4 E 5  TEMPOS</t>
  </si>
  <si>
    <t>2 e 3 tempos</t>
  </si>
  <si>
    <t>13.05</t>
  </si>
  <si>
    <t>AR</t>
  </si>
  <si>
    <t>SALA DE PROVAS</t>
  </si>
  <si>
    <t>A 301 e A 304</t>
  </si>
  <si>
    <t>27.04</t>
  </si>
  <si>
    <t>LANÇAMENTO DE NOTAS NO PORTAL</t>
  </si>
  <si>
    <t>GEO</t>
  </si>
  <si>
    <t>2o e 3o tempos</t>
  </si>
  <si>
    <t>Sala de aula</t>
  </si>
  <si>
    <t>DAF | Caro - SGa - EFr</t>
  </si>
  <si>
    <t>A-304</t>
  </si>
  <si>
    <t>MATEMÁTICA</t>
  </si>
  <si>
    <t>2CH</t>
  </si>
  <si>
    <t>4° e 5° tempos</t>
  </si>
  <si>
    <t>QUI/FAB</t>
  </si>
  <si>
    <t>ASSEMBLÉIA COM OS REPRESENTANTES</t>
  </si>
  <si>
    <t>2º tempo</t>
  </si>
  <si>
    <t>6º TEMPO</t>
  </si>
  <si>
    <t>SALA DE AULA</t>
  </si>
  <si>
    <t>Alemun</t>
  </si>
  <si>
    <t>FIS - VSI</t>
  </si>
  <si>
    <t>4,5 TEMPOS</t>
  </si>
  <si>
    <t>A 304</t>
  </si>
  <si>
    <t>7° tempo</t>
  </si>
  <si>
    <t>SIM DSD1</t>
  </si>
  <si>
    <t>VIAGEM DE TURMAS 9</t>
  </si>
  <si>
    <t>CC 9/10</t>
  </si>
  <si>
    <t>Prüfungsplan Klasse 9C2 | Plano das Provas Turma 9C2</t>
  </si>
  <si>
    <t>Anzahl SuS |
Número alunos:19</t>
  </si>
  <si>
    <r>
      <t>2</t>
    </r>
    <r>
      <rPr>
        <vertAlign val="superscript"/>
        <sz val="14"/>
        <color rgb="FF0070C0"/>
        <rFont val="Arial"/>
        <family val="2"/>
      </rPr>
      <t>a</t>
    </r>
    <r>
      <rPr>
        <sz val="14"/>
        <color rgb="FF0070C0"/>
        <rFont val="Arial"/>
        <family val="2"/>
      </rPr>
      <t xml:space="preserve"> e 3</t>
    </r>
    <r>
      <rPr>
        <vertAlign val="superscript"/>
        <sz val="14"/>
        <color rgb="FF0070C0"/>
        <rFont val="Arial"/>
        <family val="2"/>
      </rPr>
      <t>a</t>
    </r>
    <r>
      <rPr>
        <sz val="14"/>
        <color rgb="FF0070C0"/>
        <rFont val="Arial"/>
        <family val="2"/>
      </rPr>
      <t xml:space="preserve"> aula</t>
    </r>
  </si>
  <si>
    <t xml:space="preserve">GL 6.tempo </t>
  </si>
  <si>
    <t>Prüfungsplan Klasse 10C1 | Plano das Provas Turma 10C1</t>
  </si>
  <si>
    <t>Anzahl SuS |
Número alunos:18</t>
  </si>
  <si>
    <t>Bio (Lza)</t>
  </si>
  <si>
    <t>6º e 7º tempos</t>
  </si>
  <si>
    <t>Port (SMo/MFo/BPad)</t>
  </si>
  <si>
    <t>4º, 5 e 6º tempos</t>
  </si>
  <si>
    <t>Hist. (ALu) - 10º e 11º tempos - Sala de Provas</t>
  </si>
  <si>
    <t>Geografia</t>
  </si>
  <si>
    <t>3° tempo</t>
  </si>
  <si>
    <t>Rios</t>
  </si>
  <si>
    <t>Car - KrK - EFr</t>
  </si>
  <si>
    <t>QUÍMICA</t>
  </si>
  <si>
    <t>Ing | APA</t>
  </si>
  <si>
    <t>DaF</t>
  </si>
  <si>
    <t>4º e 5º tempos</t>
  </si>
  <si>
    <t>E301</t>
  </si>
  <si>
    <t>2° e 3° tempo</t>
  </si>
  <si>
    <t>2ª e 3ª aulas</t>
  </si>
  <si>
    <t>Eth - Krk - EFr</t>
  </si>
  <si>
    <t>FIS | VSI</t>
  </si>
  <si>
    <t>3° e 4° tempos</t>
  </si>
  <si>
    <t>6° e 7° tempos</t>
  </si>
  <si>
    <t>p[[+</t>
  </si>
  <si>
    <t>SOC (Kle)</t>
  </si>
  <si>
    <t>4o tempo</t>
  </si>
  <si>
    <t>06+</t>
  </si>
  <si>
    <t>AG1-10</t>
  </si>
  <si>
    <t xml:space="preserve">Filosofia (Lan) - </t>
  </si>
  <si>
    <t>1º e 2º tempos</t>
  </si>
  <si>
    <t>1° tempo</t>
  </si>
  <si>
    <t>9º e 10º tempos</t>
  </si>
  <si>
    <t>Prüfungsplan Klasse 10C2 | Plano das Provas Turma 10C2</t>
  </si>
  <si>
    <t>Ing | Vir</t>
  </si>
  <si>
    <t>E306</t>
  </si>
  <si>
    <t>2° e 3°  sala de aula</t>
  </si>
  <si>
    <t>4a e 5ª aulas</t>
  </si>
  <si>
    <t>6,7 BRU,RIO,KLE
SALA DE PROVAS</t>
  </si>
  <si>
    <t>4º e 5 tempos</t>
  </si>
  <si>
    <t>2° e 3° - sala de aula</t>
  </si>
  <si>
    <t>4ª e 5ª aulas</t>
  </si>
  <si>
    <t>Prüfungsplan Klasse 11C1 | Plano das Provas Turma 11C1</t>
  </si>
  <si>
    <t>Anzahl SuS |
Número alunos:22</t>
  </si>
  <si>
    <t>S1-11 BRE
SALA DE PROVAS
1-7</t>
  </si>
  <si>
    <t>FIS/CADU</t>
  </si>
  <si>
    <t>A314</t>
  </si>
  <si>
    <t>ING/BEA</t>
  </si>
  <si>
    <t>DaF/SGa/KrK/CBu</t>
  </si>
  <si>
    <t>GL/SGa/KrK/CBu</t>
  </si>
  <si>
    <t>MAT/ClaMe e JJ</t>
  </si>
  <si>
    <t>5º tempo</t>
  </si>
  <si>
    <t>9° e 10° tempos</t>
  </si>
  <si>
    <t>A304/A314/A308</t>
  </si>
  <si>
    <t>Hist/Ver</t>
  </si>
  <si>
    <t>LP/LIT/RED - Raf/AMu/ACo</t>
  </si>
  <si>
    <t>9º e 10º tempo</t>
  </si>
  <si>
    <t>sala de provas</t>
  </si>
  <si>
    <t>primeiro e segundo tempos</t>
  </si>
  <si>
    <t>4º, 5º e 6º tempos</t>
  </si>
  <si>
    <t>Filosofia (Lan)</t>
  </si>
  <si>
    <t>9º e 10 tempos</t>
  </si>
  <si>
    <t>sala de Provas</t>
  </si>
  <si>
    <t>2o tempo</t>
  </si>
  <si>
    <t>2° e 3° tempos</t>
  </si>
  <si>
    <t>S2-11 BRE
SALA DE PROVAS
1-7</t>
  </si>
  <si>
    <t>VIAGEM DAS TURMAS 11</t>
  </si>
  <si>
    <t>SIP</t>
  </si>
  <si>
    <t>Conselho 11/12</t>
  </si>
  <si>
    <t>Prüfungsplan Klasse 11C2 | Plano das Provas Turma 11C2</t>
  </si>
  <si>
    <t>Anzahl SuS |
Número alunos:17</t>
  </si>
  <si>
    <t>ING</t>
  </si>
  <si>
    <t>Pah</t>
  </si>
  <si>
    <t>A308</t>
  </si>
  <si>
    <t>6 e 7 tempos / A308</t>
  </si>
  <si>
    <t>primeiro e segundo</t>
  </si>
  <si>
    <t>Prüfungsplan Klasse 12C1 | Plano das Provas Turma 12C1</t>
  </si>
  <si>
    <t>S1-12 BRE
SALA DE PROVAS
1-7</t>
  </si>
  <si>
    <t>Pah 1 e 2 tempos - A 312</t>
  </si>
  <si>
    <t>2º e 3º tempos Sala de Provas</t>
  </si>
  <si>
    <t>Port (Deb e Amu)</t>
  </si>
  <si>
    <t>3º, 4º e 5º tempos</t>
  </si>
  <si>
    <t>HIS/Wag</t>
  </si>
  <si>
    <t>10º e 11º tempos</t>
  </si>
  <si>
    <t>6° e 7° tempo</t>
  </si>
  <si>
    <t>Eth - CBu - EFr</t>
  </si>
  <si>
    <t>QUIMICA</t>
  </si>
  <si>
    <t>MAT</t>
  </si>
  <si>
    <t>6° tempo</t>
  </si>
  <si>
    <t>S2-12 BRE
SALA DE PROVAS
1-7</t>
  </si>
  <si>
    <t>UERJ:15.05</t>
  </si>
  <si>
    <t>sex</t>
  </si>
  <si>
    <t>Geo Apro(zeca)</t>
  </si>
  <si>
    <t>UERJ:22.05</t>
  </si>
  <si>
    <t>4,5 tempo</t>
  </si>
  <si>
    <t>3o tempo</t>
  </si>
  <si>
    <t>A312</t>
  </si>
  <si>
    <t>UERJ:30.05</t>
  </si>
  <si>
    <t>2º e 3º tempos</t>
  </si>
  <si>
    <t>sab</t>
  </si>
  <si>
    <t>VEST.UERJ</t>
  </si>
  <si>
    <t>07.06</t>
  </si>
  <si>
    <t>prova EQ1</t>
  </si>
  <si>
    <t>SIM DSD2</t>
  </si>
  <si>
    <t>Química</t>
  </si>
  <si>
    <t>4o e 5o temp</t>
  </si>
  <si>
    <t>S3-12 COORD
SALA DE PROVAS
1 - 7</t>
  </si>
  <si>
    <t>Prüfungsplan Klasse 12C2 | Plano das Provas Turma 12C2</t>
  </si>
  <si>
    <t>Anzahl SuS |
Número alunos:16</t>
  </si>
  <si>
    <t>Isb</t>
  </si>
  <si>
    <t>5º e 6º tempos A305</t>
  </si>
  <si>
    <t>6o tempo</t>
  </si>
  <si>
    <t>A305</t>
  </si>
  <si>
    <t>ATIVIDADE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</si>
</sst>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/yy;@"/>
  </numFmts>
  <fonts count="39">
    <font>
      <sz val="12"/>
      <name val="Arial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sz val="10"/>
      <color rgb="FF0070C0"/>
      <name val="Arial"/>
      <family val="2"/>
    </font>
    <font>
      <vertAlign val="superscript"/>
      <sz val="10"/>
      <color rgb="FF0070C0"/>
      <name val="Arial"/>
      <family val="2"/>
    </font>
    <font>
      <b/>
      <sz val="12"/>
      <color rgb="FFC00000"/>
      <name val="Arial"/>
      <family val="2"/>
    </font>
    <font>
      <u/>
      <sz val="10"/>
      <color rgb="FFC0000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rgb="FF000000"/>
      <name val="Arial"/>
    </font>
    <font>
      <sz val="16"/>
      <name val="Arial"/>
      <family val="2"/>
    </font>
    <font>
      <b/>
      <sz val="14"/>
      <color rgb="FF000000"/>
      <name val="Arial"/>
      <family val="2"/>
    </font>
    <font>
      <b/>
      <sz val="20"/>
      <name val="Arial"/>
      <family val="2"/>
    </font>
    <font>
      <sz val="12"/>
      <color rgb="FF0070C0"/>
      <name val="Arial"/>
      <family val="2"/>
    </font>
    <font>
      <vertAlign val="superscript"/>
      <sz val="12"/>
      <color rgb="FF0070C0"/>
      <name val="Arial"/>
      <family val="2"/>
    </font>
    <font>
      <sz val="14"/>
      <color rgb="FF0070C0"/>
      <name val="Arial"/>
      <family val="2"/>
    </font>
    <font>
      <vertAlign val="superscript"/>
      <sz val="14"/>
      <color rgb="FF0070C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1"/>
      <name val="Arial"/>
    </font>
    <font>
      <sz val="9"/>
      <name val="Arial"/>
      <family val="2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11"/>
      <color rgb="FF242424"/>
      <name val="Aptos Narrow"/>
      <charset val="1"/>
    </font>
    <font>
      <sz val="9"/>
      <color theme="1"/>
      <name val="Arial"/>
      <family val="2"/>
    </font>
    <font>
      <b/>
      <sz val="12"/>
      <color rgb="FFFF0000"/>
      <name val="Arial"/>
      <family val="2"/>
    </font>
    <font>
      <strike/>
      <sz val="10"/>
      <color rgb="FF000000"/>
      <name val="Arial"/>
    </font>
    <font>
      <sz val="10"/>
      <color rgb="FF000000"/>
      <name val="Arial"/>
    </font>
  </fonts>
  <fills count="3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D2F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337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0" fillId="0" borderId="37" xfId="0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35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0" fillId="3" borderId="45" xfId="0" applyFill="1" applyBorder="1" applyAlignment="1" applyProtection="1">
      <alignment vertical="center"/>
      <protection locked="0"/>
    </xf>
    <xf numFmtId="0" fontId="0" fillId="6" borderId="33" xfId="0" applyFill="1" applyBorder="1" applyAlignment="1" applyProtection="1">
      <alignment vertical="center"/>
      <protection locked="0"/>
    </xf>
    <xf numFmtId="0" fontId="0" fillId="3" borderId="33" xfId="0" applyFill="1" applyBorder="1" applyAlignment="1" applyProtection="1">
      <alignment vertical="center"/>
      <protection locked="0"/>
    </xf>
    <xf numFmtId="0" fontId="0" fillId="4" borderId="33" xfId="0" applyFill="1" applyBorder="1" applyAlignment="1" applyProtection="1">
      <alignment vertical="center"/>
      <protection locked="0"/>
    </xf>
    <xf numFmtId="0" fontId="0" fillId="2" borderId="33" xfId="0" applyFill="1" applyBorder="1" applyAlignment="1" applyProtection="1">
      <alignment vertical="center"/>
      <protection locked="0"/>
    </xf>
    <xf numFmtId="0" fontId="4" fillId="0" borderId="36" xfId="0" applyFont="1" applyBorder="1" applyAlignment="1" applyProtection="1">
      <alignment vertical="center"/>
      <protection locked="0"/>
    </xf>
    <xf numFmtId="0" fontId="4" fillId="0" borderId="44" xfId="0" applyFont="1" applyBorder="1" applyAlignment="1" applyProtection="1">
      <alignment vertical="center"/>
      <protection locked="0"/>
    </xf>
    <xf numFmtId="0" fontId="0" fillId="3" borderId="34" xfId="0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164" fontId="6" fillId="4" borderId="3" xfId="0" applyNumberFormat="1" applyFont="1" applyFill="1" applyBorder="1" applyAlignment="1">
      <alignment horizontal="right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10" fillId="4" borderId="10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8" xfId="0" applyFont="1" applyFill="1" applyBorder="1" applyAlignment="1" applyProtection="1">
      <alignment horizontal="center" vertical="center" wrapText="1"/>
      <protection locked="0"/>
    </xf>
    <xf numFmtId="0" fontId="19" fillId="2" borderId="25" xfId="0" applyFont="1" applyFill="1" applyBorder="1" applyAlignment="1" applyProtection="1">
      <alignment horizontal="center" vertical="center" wrapText="1"/>
      <protection locked="0"/>
    </xf>
    <xf numFmtId="0" fontId="19" fillId="2" borderId="4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5" fillId="12" borderId="15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5" fillId="12" borderId="35" xfId="0" applyFont="1" applyFill="1" applyBorder="1" applyAlignment="1" applyProtection="1">
      <alignment horizontal="center" vertical="center" wrapText="1"/>
      <protection locked="0"/>
    </xf>
    <xf numFmtId="0" fontId="0" fillId="9" borderId="33" xfId="0" applyFill="1" applyBorder="1" applyAlignment="1" applyProtection="1">
      <alignment vertical="center"/>
      <protection locked="0"/>
    </xf>
    <xf numFmtId="0" fontId="0" fillId="13" borderId="45" xfId="0" applyFill="1" applyBorder="1" applyAlignment="1" applyProtection="1">
      <alignment vertical="center"/>
      <protection locked="0"/>
    </xf>
    <xf numFmtId="0" fontId="0" fillId="14" borderId="33" xfId="0" applyFill="1" applyBorder="1" applyAlignment="1" applyProtection="1">
      <alignment vertical="center"/>
      <protection locked="0"/>
    </xf>
    <xf numFmtId="0" fontId="0" fillId="17" borderId="33" xfId="0" applyFill="1" applyBorder="1" applyAlignment="1" applyProtection="1">
      <alignment vertical="center"/>
      <protection locked="0"/>
    </xf>
    <xf numFmtId="0" fontId="5" fillId="16" borderId="15" xfId="0" applyFont="1" applyFill="1" applyBorder="1" applyAlignment="1" applyProtection="1">
      <alignment horizontal="center" vertical="center" wrapText="1"/>
      <protection locked="0"/>
    </xf>
    <xf numFmtId="0" fontId="5" fillId="16" borderId="1" xfId="0" applyFont="1" applyFill="1" applyBorder="1" applyAlignment="1" applyProtection="1">
      <alignment horizontal="center" vertical="center" wrapText="1"/>
      <protection locked="0"/>
    </xf>
    <xf numFmtId="16" fontId="5" fillId="1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13" borderId="45" xfId="0" applyFont="1" applyFill="1" applyBorder="1" applyAlignment="1" applyProtection="1">
      <alignment vertical="center"/>
      <protection locked="0"/>
    </xf>
    <xf numFmtId="0" fontId="4" fillId="9" borderId="33" xfId="0" applyFont="1" applyFill="1" applyBorder="1" applyAlignment="1" applyProtection="1">
      <alignment vertical="center"/>
      <protection locked="0"/>
    </xf>
    <xf numFmtId="0" fontId="4" fillId="14" borderId="33" xfId="0" applyFont="1" applyFill="1" applyBorder="1" applyAlignment="1" applyProtection="1">
      <alignment vertical="center"/>
      <protection locked="0"/>
    </xf>
    <xf numFmtId="0" fontId="4" fillId="4" borderId="33" xfId="0" applyFont="1" applyFill="1" applyBorder="1" applyAlignment="1" applyProtection="1">
      <alignment vertical="center"/>
      <protection locked="0"/>
    </xf>
    <xf numFmtId="0" fontId="4" fillId="17" borderId="33" xfId="0" applyFont="1" applyFill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5" fillId="19" borderId="15" xfId="0" applyFont="1" applyFill="1" applyBorder="1" applyAlignment="1" applyProtection="1">
      <alignment horizontal="center" vertical="center" wrapText="1"/>
      <protection locked="0"/>
    </xf>
    <xf numFmtId="0" fontId="5" fillId="19" borderId="1" xfId="0" applyFont="1" applyFill="1" applyBorder="1" applyAlignment="1" applyProtection="1">
      <alignment horizontal="center" vertical="center" wrapText="1"/>
      <protection locked="0"/>
    </xf>
    <xf numFmtId="0" fontId="4" fillId="19" borderId="33" xfId="0" applyFont="1" applyFill="1" applyBorder="1" applyAlignment="1" applyProtection="1">
      <alignment vertical="center"/>
      <protection locked="0"/>
    </xf>
    <xf numFmtId="0" fontId="4" fillId="16" borderId="34" xfId="0" applyFont="1" applyFill="1" applyBorder="1" applyAlignment="1" applyProtection="1">
      <alignment vertical="center"/>
      <protection locked="0"/>
    </xf>
    <xf numFmtId="0" fontId="28" fillId="8" borderId="15" xfId="0" applyFont="1" applyFill="1" applyBorder="1" applyAlignment="1" applyProtection="1">
      <alignment horizontal="center" vertical="center" wrapText="1"/>
      <protection locked="0"/>
    </xf>
    <xf numFmtId="0" fontId="28" fillId="8" borderId="1" xfId="0" applyFont="1" applyFill="1" applyBorder="1" applyAlignment="1" applyProtection="1">
      <alignment horizontal="center" vertical="center" wrapText="1"/>
      <protection locked="0"/>
    </xf>
    <xf numFmtId="0" fontId="5" fillId="20" borderId="15" xfId="0" applyFont="1" applyFill="1" applyBorder="1" applyAlignment="1" applyProtection="1">
      <alignment horizontal="center" vertical="center" wrapText="1"/>
      <protection locked="0"/>
    </xf>
    <xf numFmtId="0" fontId="5" fillId="20" borderId="1" xfId="0" applyFont="1" applyFill="1" applyBorder="1" applyAlignment="1" applyProtection="1">
      <alignment horizontal="center" vertical="center" wrapText="1"/>
      <protection locked="0"/>
    </xf>
    <xf numFmtId="0" fontId="5" fillId="6" borderId="56" xfId="0" applyFont="1" applyFill="1" applyBorder="1" applyAlignment="1" applyProtection="1">
      <alignment horizontal="center" vertical="center" wrapText="1"/>
      <protection locked="0"/>
    </xf>
    <xf numFmtId="0" fontId="5" fillId="0" borderId="56" xfId="0" applyFont="1" applyBorder="1" applyAlignment="1" applyProtection="1">
      <alignment horizontal="center" vertical="center" wrapText="1"/>
      <protection locked="0"/>
    </xf>
    <xf numFmtId="0" fontId="5" fillId="21" borderId="56" xfId="0" applyFont="1" applyFill="1" applyBorder="1" applyAlignment="1" applyProtection="1">
      <alignment horizontal="center" vertical="center" wrapText="1"/>
      <protection locked="0"/>
    </xf>
    <xf numFmtId="0" fontId="5" fillId="16" borderId="56" xfId="0" applyFont="1" applyFill="1" applyBorder="1" applyAlignment="1" applyProtection="1">
      <alignment horizontal="center" vertical="center" wrapText="1"/>
      <protection locked="0"/>
    </xf>
    <xf numFmtId="0" fontId="5" fillId="20" borderId="56" xfId="0" applyFont="1" applyFill="1" applyBorder="1" applyAlignment="1" applyProtection="1">
      <alignment horizontal="center" vertical="center" wrapText="1"/>
      <protection locked="0"/>
    </xf>
    <xf numFmtId="0" fontId="5" fillId="19" borderId="35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6" borderId="58" xfId="0" applyFont="1" applyFill="1" applyBorder="1" applyAlignment="1" applyProtection="1">
      <alignment horizontal="center" vertical="center" wrapText="1"/>
      <protection locked="0"/>
    </xf>
    <xf numFmtId="0" fontId="5" fillId="0" borderId="58" xfId="0" applyFont="1" applyBorder="1" applyAlignment="1" applyProtection="1">
      <alignment horizontal="center" vertical="center" wrapText="1"/>
      <protection locked="0"/>
    </xf>
    <xf numFmtId="0" fontId="5" fillId="21" borderId="58" xfId="0" applyFont="1" applyFill="1" applyBorder="1" applyAlignment="1" applyProtection="1">
      <alignment horizontal="center" vertical="center" wrapText="1"/>
      <protection locked="0"/>
    </xf>
    <xf numFmtId="0" fontId="5" fillId="16" borderId="58" xfId="0" applyFont="1" applyFill="1" applyBorder="1" applyAlignment="1" applyProtection="1">
      <alignment horizontal="center" vertical="center" wrapText="1"/>
      <protection locked="0"/>
    </xf>
    <xf numFmtId="0" fontId="5" fillId="20" borderId="58" xfId="0" applyFont="1" applyFill="1" applyBorder="1" applyAlignment="1" applyProtection="1">
      <alignment horizontal="center" vertical="center" wrapText="1"/>
      <protection locked="0"/>
    </xf>
    <xf numFmtId="0" fontId="5" fillId="6" borderId="61" xfId="0" applyFont="1" applyFill="1" applyBorder="1" applyAlignment="1" applyProtection="1">
      <alignment horizontal="center" vertical="center" wrapText="1"/>
      <protection locked="0"/>
    </xf>
    <xf numFmtId="0" fontId="5" fillId="0" borderId="61" xfId="0" applyFont="1" applyBorder="1" applyAlignment="1" applyProtection="1">
      <alignment horizontal="center" vertical="center" wrapText="1"/>
      <protection locked="0"/>
    </xf>
    <xf numFmtId="0" fontId="5" fillId="21" borderId="61" xfId="0" applyFont="1" applyFill="1" applyBorder="1" applyAlignment="1" applyProtection="1">
      <alignment horizontal="center" vertical="center" wrapText="1"/>
      <protection locked="0"/>
    </xf>
    <xf numFmtId="0" fontId="5" fillId="16" borderId="61" xfId="0" applyFont="1" applyFill="1" applyBorder="1" applyAlignment="1" applyProtection="1">
      <alignment horizontal="center" vertical="center" wrapText="1"/>
      <protection locked="0"/>
    </xf>
    <xf numFmtId="0" fontId="5" fillId="20" borderId="61" xfId="0" applyFont="1" applyFill="1" applyBorder="1" applyAlignment="1" applyProtection="1">
      <alignment horizontal="center" vertical="center" wrapText="1"/>
      <protection locked="0"/>
    </xf>
    <xf numFmtId="0" fontId="0" fillId="0" borderId="56" xfId="0" applyBorder="1" applyAlignment="1">
      <alignment vertical="center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29" fillId="23" borderId="1" xfId="0" applyFont="1" applyFill="1" applyBorder="1" applyAlignment="1" applyProtection="1">
      <alignment horizontal="center" vertical="center" wrapText="1"/>
      <protection locked="0"/>
    </xf>
    <xf numFmtId="0" fontId="5" fillId="17" borderId="15" xfId="0" applyFont="1" applyFill="1" applyBorder="1" applyAlignment="1" applyProtection="1">
      <alignment horizontal="center" vertical="center" wrapText="1"/>
      <protection locked="0"/>
    </xf>
    <xf numFmtId="0" fontId="5" fillId="17" borderId="1" xfId="0" applyFont="1" applyFill="1" applyBorder="1" applyAlignment="1" applyProtection="1">
      <alignment horizontal="center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0" fontId="5" fillId="24" borderId="4" xfId="0" applyFont="1" applyFill="1" applyBorder="1" applyAlignment="1" applyProtection="1">
      <alignment horizontal="center" vertical="center" wrapText="1"/>
      <protection locked="0"/>
    </xf>
    <xf numFmtId="0" fontId="5" fillId="24" borderId="1" xfId="0" applyFont="1" applyFill="1" applyBorder="1" applyAlignment="1" applyProtection="1">
      <alignment horizontal="center" vertical="center" wrapText="1"/>
      <protection locked="0"/>
    </xf>
    <xf numFmtId="0" fontId="5" fillId="24" borderId="15" xfId="0" applyFont="1" applyFill="1" applyBorder="1" applyAlignment="1" applyProtection="1">
      <alignment horizontal="center" vertical="center" wrapText="1"/>
      <protection locked="0"/>
    </xf>
    <xf numFmtId="0" fontId="5" fillId="25" borderId="1" xfId="0" applyFont="1" applyFill="1" applyBorder="1" applyAlignment="1" applyProtection="1">
      <alignment horizontal="center" vertical="center" wrapText="1"/>
      <protection locked="0"/>
    </xf>
    <xf numFmtId="0" fontId="5" fillId="25" borderId="15" xfId="0" applyFont="1" applyFill="1" applyBorder="1" applyAlignment="1" applyProtection="1">
      <alignment horizontal="center" vertical="center" wrapText="1"/>
      <protection locked="0"/>
    </xf>
    <xf numFmtId="0" fontId="6" fillId="17" borderId="66" xfId="0" applyFont="1" applyFill="1" applyBorder="1" applyAlignment="1" applyProtection="1">
      <alignment horizontal="center" vertical="center" wrapText="1"/>
      <protection locked="0"/>
    </xf>
    <xf numFmtId="0" fontId="6" fillId="17" borderId="67" xfId="0" applyFont="1" applyFill="1" applyBorder="1" applyAlignment="1" applyProtection="1">
      <alignment horizontal="center" vertical="center" wrapText="1"/>
      <protection locked="0"/>
    </xf>
    <xf numFmtId="0" fontId="6" fillId="17" borderId="65" xfId="0" applyFont="1" applyFill="1" applyBorder="1" applyAlignment="1" applyProtection="1">
      <alignment horizontal="center" vertical="center" wrapText="1"/>
      <protection locked="0"/>
    </xf>
    <xf numFmtId="0" fontId="5" fillId="0" borderId="68" xfId="0" applyFont="1" applyBorder="1" applyAlignment="1" applyProtection="1">
      <alignment horizontal="center" vertical="center" wrapText="1"/>
      <protection locked="0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17" borderId="66" xfId="0" applyFont="1" applyFill="1" applyBorder="1" applyAlignment="1" applyProtection="1">
      <alignment horizontal="center" vertical="center" wrapText="1"/>
      <protection locked="0"/>
    </xf>
    <xf numFmtId="0" fontId="5" fillId="17" borderId="67" xfId="0" applyFont="1" applyFill="1" applyBorder="1" applyAlignment="1" applyProtection="1">
      <alignment horizontal="center" vertical="center" wrapText="1"/>
      <protection locked="0"/>
    </xf>
    <xf numFmtId="0" fontId="5" fillId="17" borderId="65" xfId="0" applyFont="1" applyFill="1" applyBorder="1" applyAlignment="1" applyProtection="1">
      <alignment horizontal="center" vertical="center" wrapText="1"/>
      <protection locked="0"/>
    </xf>
    <xf numFmtId="0" fontId="5" fillId="23" borderId="15" xfId="0" applyFont="1" applyFill="1" applyBorder="1" applyAlignment="1" applyProtection="1">
      <alignment horizontal="center" vertical="center" wrapText="1"/>
      <protection locked="0"/>
    </xf>
    <xf numFmtId="0" fontId="5" fillId="23" borderId="1" xfId="0" applyFont="1" applyFill="1" applyBorder="1" applyAlignment="1" applyProtection="1">
      <alignment horizontal="center" vertical="center" wrapText="1"/>
      <protection locked="0"/>
    </xf>
    <xf numFmtId="0" fontId="5" fillId="26" borderId="15" xfId="0" applyFont="1" applyFill="1" applyBorder="1" applyAlignment="1" applyProtection="1">
      <alignment horizontal="center" vertical="center" wrapText="1"/>
      <protection locked="0"/>
    </xf>
    <xf numFmtId="0" fontId="5" fillId="26" borderId="1" xfId="0" applyFont="1" applyFill="1" applyBorder="1" applyAlignment="1" applyProtection="1">
      <alignment horizontal="center" vertical="center" wrapText="1"/>
      <protection locked="0"/>
    </xf>
    <xf numFmtId="0" fontId="5" fillId="27" borderId="15" xfId="0" applyFont="1" applyFill="1" applyBorder="1" applyAlignment="1" applyProtection="1">
      <alignment horizontal="center" vertical="center" wrapText="1"/>
      <protection locked="0"/>
    </xf>
    <xf numFmtId="0" fontId="5" fillId="27" borderId="1" xfId="0" applyFont="1" applyFill="1" applyBorder="1" applyAlignment="1" applyProtection="1">
      <alignment horizontal="center" vertical="center" wrapText="1"/>
      <protection locked="0"/>
    </xf>
    <xf numFmtId="0" fontId="5" fillId="6" borderId="15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30" fillId="8" borderId="0" xfId="0" applyFont="1" applyFill="1" applyAlignment="1">
      <alignment vertical="center"/>
    </xf>
    <xf numFmtId="0" fontId="31" fillId="28" borderId="15" xfId="0" applyFont="1" applyFill="1" applyBorder="1" applyAlignment="1" applyProtection="1">
      <alignment horizontal="center" vertical="center" wrapText="1"/>
      <protection locked="0"/>
    </xf>
    <xf numFmtId="0" fontId="5" fillId="28" borderId="1" xfId="0" applyFont="1" applyFill="1" applyBorder="1" applyAlignment="1" applyProtection="1">
      <alignment horizontal="center" vertical="center" wrapText="1"/>
      <protection locked="0"/>
    </xf>
    <xf numFmtId="0" fontId="33" fillId="28" borderId="0" xfId="0" applyFont="1" applyFill="1"/>
    <xf numFmtId="0" fontId="32" fillId="28" borderId="0" xfId="0" applyFont="1" applyFill="1"/>
    <xf numFmtId="0" fontId="34" fillId="28" borderId="0" xfId="0" applyFont="1" applyFill="1"/>
    <xf numFmtId="0" fontId="35" fillId="29" borderId="15" xfId="0" applyFont="1" applyFill="1" applyBorder="1" applyAlignment="1" applyProtection="1">
      <alignment horizontal="center" vertical="center" wrapText="1"/>
      <protection locked="0"/>
    </xf>
    <xf numFmtId="0" fontId="5" fillId="29" borderId="1" xfId="0" applyFont="1" applyFill="1" applyBorder="1" applyAlignment="1" applyProtection="1">
      <alignment horizontal="center" vertical="center" wrapText="1"/>
      <protection locked="0"/>
    </xf>
    <xf numFmtId="0" fontId="34" fillId="29" borderId="0" xfId="0" applyFont="1" applyFill="1"/>
    <xf numFmtId="0" fontId="0" fillId="3" borderId="72" xfId="0" applyFill="1" applyBorder="1" applyAlignment="1" applyProtection="1">
      <alignment vertical="center"/>
      <protection locked="0"/>
    </xf>
    <xf numFmtId="16" fontId="36" fillId="16" borderId="56" xfId="0" applyNumberFormat="1" applyFont="1" applyFill="1" applyBorder="1" applyAlignment="1" applyProtection="1">
      <alignment vertical="center" wrapText="1"/>
      <protection locked="0"/>
    </xf>
    <xf numFmtId="0" fontId="0" fillId="16" borderId="56" xfId="0" applyFill="1" applyBorder="1" applyAlignment="1" applyProtection="1">
      <alignment vertical="center"/>
      <protection locked="0"/>
    </xf>
    <xf numFmtId="0" fontId="29" fillId="30" borderId="1" xfId="0" applyFont="1" applyFill="1" applyBorder="1" applyAlignment="1" applyProtection="1">
      <alignment horizontal="center" vertical="center" wrapText="1"/>
      <protection locked="0"/>
    </xf>
    <xf numFmtId="0" fontId="5" fillId="16" borderId="56" xfId="0" applyFont="1" applyFill="1" applyBorder="1" applyAlignment="1" applyProtection="1">
      <alignment vertical="center" wrapText="1"/>
      <protection locked="0"/>
    </xf>
    <xf numFmtId="0" fontId="5" fillId="16" borderId="73" xfId="0" applyFont="1" applyFill="1" applyBorder="1" applyAlignment="1" applyProtection="1">
      <alignment vertical="center" wrapText="1"/>
      <protection locked="0"/>
    </xf>
    <xf numFmtId="0" fontId="5" fillId="28" borderId="15" xfId="0" applyFont="1" applyFill="1" applyBorder="1" applyAlignment="1" applyProtection="1">
      <alignment horizontal="center" vertical="center" wrapText="1"/>
      <protection locked="0"/>
    </xf>
    <xf numFmtId="0" fontId="5" fillId="26" borderId="23" xfId="0" applyFont="1" applyFill="1" applyBorder="1" applyAlignment="1" applyProtection="1">
      <alignment horizontal="center" vertical="center" wrapText="1"/>
      <protection locked="0"/>
    </xf>
    <xf numFmtId="0" fontId="5" fillId="26" borderId="24" xfId="0" applyFont="1" applyFill="1" applyBorder="1" applyAlignment="1" applyProtection="1">
      <alignment horizontal="center" vertical="center" wrapText="1"/>
      <protection locked="0"/>
    </xf>
    <xf numFmtId="16" fontId="5" fillId="16" borderId="3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15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29" borderId="15" xfId="0" applyFont="1" applyFill="1" applyBorder="1" applyAlignment="1" applyProtection="1">
      <alignment horizontal="center" vertical="center" wrapText="1"/>
      <protection locked="0"/>
    </xf>
    <xf numFmtId="0" fontId="5" fillId="13" borderId="15" xfId="0" applyFont="1" applyFill="1" applyBorder="1" applyAlignment="1" applyProtection="1">
      <alignment horizontal="center" vertical="center" wrapText="1"/>
      <protection locked="0"/>
    </xf>
    <xf numFmtId="0" fontId="5" fillId="13" borderId="1" xfId="0" applyFont="1" applyFill="1" applyBorder="1" applyAlignment="1" applyProtection="1">
      <alignment horizontal="center" vertical="center" wrapText="1"/>
      <protection locked="0"/>
    </xf>
    <xf numFmtId="0" fontId="5" fillId="31" borderId="15" xfId="0" applyFont="1" applyFill="1" applyBorder="1" applyAlignment="1" applyProtection="1">
      <alignment horizontal="center" vertical="center" wrapText="1"/>
      <protection locked="0"/>
    </xf>
    <xf numFmtId="0" fontId="5" fillId="31" borderId="1" xfId="0" applyFont="1" applyFill="1" applyBorder="1" applyAlignment="1" applyProtection="1">
      <alignment horizontal="center" vertical="center" wrapText="1"/>
      <protection locked="0"/>
    </xf>
    <xf numFmtId="0" fontId="5" fillId="32" borderId="15" xfId="0" applyFont="1" applyFill="1" applyBorder="1" applyAlignment="1" applyProtection="1">
      <alignment horizontal="center" vertical="center" wrapText="1"/>
      <protection locked="0"/>
    </xf>
    <xf numFmtId="0" fontId="5" fillId="32" borderId="1" xfId="0" applyFont="1" applyFill="1" applyBorder="1" applyAlignment="1" applyProtection="1">
      <alignment horizontal="center" vertical="center" wrapText="1"/>
      <protection locked="0"/>
    </xf>
    <xf numFmtId="164" fontId="6" fillId="4" borderId="3" xfId="0" applyNumberFormat="1" applyFont="1" applyFill="1" applyBorder="1" applyAlignment="1">
      <alignment horizontal="left" vertical="center" wrapText="1"/>
    </xf>
    <xf numFmtId="0" fontId="6" fillId="13" borderId="66" xfId="0" applyFont="1" applyFill="1" applyBorder="1" applyAlignment="1" applyProtection="1">
      <alignment horizontal="center" vertical="center" wrapText="1"/>
      <protection locked="0"/>
    </xf>
    <xf numFmtId="0" fontId="6" fillId="13" borderId="67" xfId="0" applyFont="1" applyFill="1" applyBorder="1" applyAlignment="1" applyProtection="1">
      <alignment horizontal="center" vertical="center" wrapText="1"/>
      <protection locked="0"/>
    </xf>
    <xf numFmtId="0" fontId="6" fillId="13" borderId="65" xfId="0" applyFont="1" applyFill="1" applyBorder="1" applyAlignment="1" applyProtection="1">
      <alignment horizontal="center" vertical="center" wrapText="1"/>
      <protection locked="0"/>
    </xf>
    <xf numFmtId="0" fontId="29" fillId="20" borderId="1" xfId="0" applyFont="1" applyFill="1" applyBorder="1" applyAlignment="1" applyProtection="1">
      <alignment horizontal="center" vertical="center" wrapText="1"/>
      <protection locked="0"/>
    </xf>
    <xf numFmtId="0" fontId="5" fillId="33" borderId="15" xfId="0" applyFont="1" applyFill="1" applyBorder="1" applyAlignment="1" applyProtection="1">
      <alignment horizontal="center" vertical="center" wrapText="1"/>
      <protection locked="0"/>
    </xf>
    <xf numFmtId="0" fontId="5" fillId="33" borderId="1" xfId="0" applyFont="1" applyFill="1" applyBorder="1" applyAlignment="1" applyProtection="1">
      <alignment horizontal="center" vertical="center" wrapText="1"/>
      <protection locked="0"/>
    </xf>
    <xf numFmtId="0" fontId="5" fillId="22" borderId="15" xfId="0" applyFont="1" applyFill="1" applyBorder="1" applyAlignment="1" applyProtection="1">
      <alignment horizontal="center" vertical="center" wrapText="1"/>
      <protection locked="0"/>
    </xf>
    <xf numFmtId="0" fontId="5" fillId="22" borderId="1" xfId="0" applyFont="1" applyFill="1" applyBorder="1" applyAlignment="1" applyProtection="1">
      <alignment horizontal="center" vertical="center" wrapText="1"/>
      <protection locked="0"/>
    </xf>
    <xf numFmtId="0" fontId="5" fillId="22" borderId="4" xfId="0" applyFont="1" applyFill="1" applyBorder="1" applyAlignment="1" applyProtection="1">
      <alignment horizontal="center" vertical="center" wrapText="1"/>
      <protection locked="0"/>
    </xf>
    <xf numFmtId="0" fontId="31" fillId="11" borderId="15" xfId="0" applyFont="1" applyFill="1" applyBorder="1" applyAlignment="1" applyProtection="1">
      <alignment horizontal="center" vertical="center" wrapText="1"/>
      <protection locked="0"/>
    </xf>
    <xf numFmtId="0" fontId="31" fillId="11" borderId="1" xfId="0" applyFont="1" applyFill="1" applyBorder="1" applyAlignment="1" applyProtection="1">
      <alignment horizontal="center" vertical="center" wrapText="1"/>
      <protection locked="0"/>
    </xf>
    <xf numFmtId="0" fontId="29" fillId="20" borderId="69" xfId="0" applyFont="1" applyFill="1" applyBorder="1" applyAlignment="1" applyProtection="1">
      <alignment horizontal="center" vertical="center" wrapText="1"/>
      <protection locked="0"/>
    </xf>
    <xf numFmtId="0" fontId="5" fillId="6" borderId="35" xfId="0" applyFont="1" applyFill="1" applyBorder="1" applyAlignment="1" applyProtection="1">
      <alignment horizontal="center" vertical="center" wrapText="1"/>
      <protection locked="0"/>
    </xf>
    <xf numFmtId="0" fontId="37" fillId="29" borderId="15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13" borderId="45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14" borderId="33" xfId="0" applyFill="1" applyBorder="1" applyAlignment="1" applyProtection="1">
      <alignment horizontal="center" vertical="center"/>
      <protection locked="0"/>
    </xf>
    <xf numFmtId="0" fontId="0" fillId="4" borderId="33" xfId="0" applyFill="1" applyBorder="1" applyAlignment="1" applyProtection="1">
      <alignment horizontal="center" vertical="center"/>
      <protection locked="0"/>
    </xf>
    <xf numFmtId="0" fontId="0" fillId="17" borderId="33" xfId="0" applyFill="1" applyBorder="1" applyAlignment="1" applyProtection="1">
      <alignment horizontal="center" vertical="center"/>
      <protection locked="0"/>
    </xf>
    <xf numFmtId="0" fontId="0" fillId="3" borderId="33" xfId="0" applyFill="1" applyBorder="1" applyAlignment="1" applyProtection="1">
      <alignment horizontal="center" vertical="center"/>
      <protection locked="0"/>
    </xf>
    <xf numFmtId="0" fontId="0" fillId="3" borderId="34" xfId="0" applyFill="1" applyBorder="1" applyAlignment="1" applyProtection="1">
      <alignment horizontal="center" vertical="center"/>
      <protection locked="0"/>
    </xf>
    <xf numFmtId="0" fontId="0" fillId="8" borderId="56" xfId="0" applyFill="1" applyBorder="1" applyAlignment="1">
      <alignment horizontal="center" vertical="center"/>
    </xf>
    <xf numFmtId="0" fontId="3" fillId="5" borderId="26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0" fontId="3" fillId="5" borderId="32" xfId="0" applyFont="1" applyFill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left" vertical="center"/>
      <protection locked="0"/>
    </xf>
    <xf numFmtId="0" fontId="4" fillId="0" borderId="46" xfId="0" applyFont="1" applyBorder="1" applyAlignment="1" applyProtection="1">
      <alignment horizontal="left" vertical="center"/>
      <protection locked="0"/>
    </xf>
    <xf numFmtId="0" fontId="4" fillId="0" borderId="24" xfId="0" applyFont="1" applyBorder="1" applyAlignment="1" applyProtection="1">
      <alignment horizontal="left" vertical="center"/>
      <protection locked="0"/>
    </xf>
    <xf numFmtId="0" fontId="4" fillId="0" borderId="43" xfId="0" applyFont="1" applyBorder="1" applyAlignment="1" applyProtection="1">
      <alignment horizontal="left" vertical="center"/>
      <protection locked="0"/>
    </xf>
    <xf numFmtId="0" fontId="4" fillId="0" borderId="36" xfId="0" applyFont="1" applyBorder="1" applyAlignment="1" applyProtection="1">
      <alignment horizontal="left" vertical="center"/>
      <protection locked="0"/>
    </xf>
    <xf numFmtId="0" fontId="4" fillId="0" borderId="44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4" fillId="0" borderId="47" xfId="0" applyFont="1" applyBorder="1" applyAlignment="1" applyProtection="1">
      <alignment horizontal="left" vertical="center"/>
      <protection locked="0"/>
    </xf>
    <xf numFmtId="0" fontId="4" fillId="0" borderId="48" xfId="0" applyFont="1" applyBorder="1" applyAlignment="1" applyProtection="1">
      <alignment horizontal="left" vertical="center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41" xfId="0" applyFont="1" applyBorder="1" applyAlignment="1" applyProtection="1">
      <alignment horizontal="center" vertical="center" wrapText="1"/>
      <protection locked="0"/>
    </xf>
    <xf numFmtId="0" fontId="5" fillId="0" borderId="42" xfId="0" applyFont="1" applyBorder="1" applyAlignment="1" applyProtection="1">
      <alignment horizontal="center" vertical="center" wrapText="1"/>
      <protection locked="0"/>
    </xf>
    <xf numFmtId="0" fontId="5" fillId="8" borderId="25" xfId="0" applyFont="1" applyFill="1" applyBorder="1" applyAlignment="1" applyProtection="1">
      <alignment horizontal="center" vertical="center" wrapText="1"/>
      <protection locked="0"/>
    </xf>
    <xf numFmtId="0" fontId="5" fillId="8" borderId="41" xfId="0" applyFont="1" applyFill="1" applyBorder="1" applyAlignment="1" applyProtection="1">
      <alignment horizontal="center" vertical="center" wrapText="1"/>
      <protection locked="0"/>
    </xf>
    <xf numFmtId="0" fontId="5" fillId="8" borderId="42" xfId="0" applyFont="1" applyFill="1" applyBorder="1" applyAlignment="1" applyProtection="1">
      <alignment horizontal="center" vertical="center" wrapText="1"/>
      <protection locked="0"/>
    </xf>
    <xf numFmtId="0" fontId="6" fillId="8" borderId="56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5" fillId="8" borderId="32" xfId="0" applyFont="1" applyFill="1" applyBorder="1" applyAlignment="1" applyProtection="1">
      <alignment horizontal="center" vertical="center" wrapText="1"/>
      <protection locked="0"/>
    </xf>
    <xf numFmtId="0" fontId="5" fillId="8" borderId="51" xfId="0" applyFont="1" applyFill="1" applyBorder="1" applyAlignment="1" applyProtection="1">
      <alignment horizontal="center" vertical="center" wrapText="1"/>
      <protection locked="0"/>
    </xf>
    <xf numFmtId="164" fontId="13" fillId="0" borderId="3" xfId="0" applyNumberFormat="1" applyFont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5" fontId="4" fillId="0" borderId="12" xfId="0" applyNumberFormat="1" applyFont="1" applyBorder="1" applyAlignment="1" applyProtection="1">
      <alignment horizontal="center" vertical="center" wrapText="1"/>
      <protection locked="0"/>
    </xf>
    <xf numFmtId="165" fontId="4" fillId="0" borderId="7" xfId="0" applyNumberFormat="1" applyFont="1" applyBorder="1" applyAlignment="1" applyProtection="1">
      <alignment horizontal="center" vertical="center" wrapText="1"/>
      <protection locked="0"/>
    </xf>
    <xf numFmtId="164" fontId="4" fillId="0" borderId="13" xfId="0" quotePrefix="1" applyNumberFormat="1" applyFont="1" applyBorder="1" applyAlignment="1">
      <alignment horizontal="center" vertical="center" wrapText="1"/>
    </xf>
    <xf numFmtId="164" fontId="4" fillId="0" borderId="6" xfId="0" quotePrefix="1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5" fillId="2" borderId="25" xfId="0" applyFont="1" applyFill="1" applyBorder="1" applyAlignment="1" applyProtection="1">
      <alignment horizontal="center" vertical="center" wrapText="1"/>
      <protection locked="0"/>
    </xf>
    <xf numFmtId="0" fontId="5" fillId="2" borderId="41" xfId="0" applyFont="1" applyFill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4" fontId="4" fillId="0" borderId="11" xfId="0" quotePrefix="1" applyNumberFormat="1" applyFont="1" applyBorder="1" applyAlignment="1">
      <alignment horizontal="center" vertical="center" wrapText="1"/>
    </xf>
    <xf numFmtId="164" fontId="4" fillId="0" borderId="0" xfId="0" quotePrefix="1" applyNumberFormat="1" applyFont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19" fillId="2" borderId="25" xfId="0" applyFont="1" applyFill="1" applyBorder="1" applyAlignment="1" applyProtection="1">
      <alignment horizontal="center" vertical="center" wrapText="1"/>
      <protection locked="0"/>
    </xf>
    <xf numFmtId="0" fontId="19" fillId="2" borderId="41" xfId="0" applyFont="1" applyFill="1" applyBorder="1" applyAlignment="1" applyProtection="1">
      <alignment horizontal="center" vertical="center" wrapText="1"/>
      <protection locked="0"/>
    </xf>
    <xf numFmtId="0" fontId="18" fillId="9" borderId="25" xfId="0" applyFont="1" applyFill="1" applyBorder="1" applyAlignment="1" applyProtection="1">
      <alignment horizontal="center" vertical="center" wrapText="1"/>
      <protection locked="0"/>
    </xf>
    <xf numFmtId="0" fontId="18" fillId="9" borderId="41" xfId="0" applyFont="1" applyFill="1" applyBorder="1" applyAlignment="1" applyProtection="1">
      <alignment horizontal="center" vertical="center" wrapText="1"/>
      <protection locked="0"/>
    </xf>
    <xf numFmtId="0" fontId="38" fillId="2" borderId="25" xfId="0" applyFont="1" applyFill="1" applyBorder="1" applyAlignment="1" applyProtection="1">
      <alignment horizontal="center" vertical="center" wrapText="1"/>
      <protection locked="0"/>
    </xf>
    <xf numFmtId="0" fontId="18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32" xfId="0" applyFont="1" applyFill="1" applyBorder="1" applyAlignment="1" applyProtection="1">
      <alignment horizontal="center" vertical="center" wrapText="1"/>
      <protection locked="0"/>
    </xf>
    <xf numFmtId="0" fontId="7" fillId="2" borderId="51" xfId="0" applyFont="1" applyFill="1" applyBorder="1" applyAlignment="1" applyProtection="1">
      <alignment horizontal="center" vertical="center" wrapText="1"/>
      <protection locked="0"/>
    </xf>
    <xf numFmtId="0" fontId="18" fillId="2" borderId="25" xfId="0" applyFont="1" applyFill="1" applyBorder="1" applyAlignment="1" applyProtection="1">
      <alignment horizontal="center" vertical="center" wrapText="1"/>
      <protection locked="0"/>
    </xf>
    <xf numFmtId="0" fontId="6" fillId="8" borderId="25" xfId="0" applyFont="1" applyFill="1" applyBorder="1" applyAlignment="1" applyProtection="1">
      <alignment horizontal="center" vertical="center" wrapText="1"/>
      <protection locked="0"/>
    </xf>
    <xf numFmtId="0" fontId="6" fillId="8" borderId="41" xfId="0" applyFont="1" applyFill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22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2" borderId="42" xfId="0" applyFont="1" applyFill="1" applyBorder="1" applyAlignment="1" applyProtection="1">
      <alignment horizontal="center" vertical="center" wrapText="1"/>
      <protection locked="0"/>
    </xf>
    <xf numFmtId="0" fontId="5" fillId="10" borderId="25" xfId="0" applyFont="1" applyFill="1" applyBorder="1" applyAlignment="1" applyProtection="1">
      <alignment horizontal="center" vertical="center" wrapText="1"/>
      <protection locked="0"/>
    </xf>
    <xf numFmtId="0" fontId="5" fillId="10" borderId="41" xfId="0" applyFont="1" applyFill="1" applyBorder="1" applyAlignment="1" applyProtection="1">
      <alignment horizontal="center" vertical="center" wrapText="1"/>
      <protection locked="0"/>
    </xf>
    <xf numFmtId="0" fontId="5" fillId="10" borderId="42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7" fillId="2" borderId="25" xfId="0" applyFont="1" applyFill="1" applyBorder="1" applyAlignment="1" applyProtection="1">
      <alignment horizontal="center" vertical="center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wrapText="1"/>
      <protection locked="0"/>
    </xf>
    <xf numFmtId="0" fontId="5" fillId="0" borderId="41" xfId="0" applyFont="1" applyBorder="1" applyAlignment="1" applyProtection="1">
      <alignment horizontal="center" wrapText="1"/>
      <protection locked="0"/>
    </xf>
    <xf numFmtId="0" fontId="5" fillId="0" borderId="42" xfId="0" applyFont="1" applyBorder="1" applyAlignment="1" applyProtection="1">
      <alignment horizontal="center" wrapText="1"/>
      <protection locked="0"/>
    </xf>
    <xf numFmtId="0" fontId="9" fillId="0" borderId="20" xfId="0" applyFont="1" applyBorder="1" applyAlignment="1">
      <alignment horizontal="center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0" fontId="21" fillId="14" borderId="49" xfId="0" applyFont="1" applyFill="1" applyBorder="1" applyAlignment="1" applyProtection="1">
      <alignment horizontal="center" vertical="center" wrapText="1"/>
      <protection locked="0"/>
    </xf>
    <xf numFmtId="0" fontId="21" fillId="14" borderId="11" xfId="0" applyFont="1" applyFill="1" applyBorder="1" applyAlignment="1" applyProtection="1">
      <alignment horizontal="center" vertical="center" wrapText="1"/>
      <protection locked="0"/>
    </xf>
    <xf numFmtId="0" fontId="21" fillId="14" borderId="32" xfId="0" applyFont="1" applyFill="1" applyBorder="1" applyAlignment="1" applyProtection="1">
      <alignment horizontal="center" vertical="center" wrapText="1"/>
      <protection locked="0"/>
    </xf>
    <xf numFmtId="0" fontId="21" fillId="14" borderId="50" xfId="0" applyFont="1" applyFill="1" applyBorder="1" applyAlignment="1" applyProtection="1">
      <alignment horizontal="center" vertical="center" wrapText="1"/>
      <protection locked="0"/>
    </xf>
    <xf numFmtId="0" fontId="21" fillId="14" borderId="0" xfId="0" applyFont="1" applyFill="1" applyAlignment="1" applyProtection="1">
      <alignment horizontal="center" vertical="center" wrapText="1"/>
      <protection locked="0"/>
    </xf>
    <xf numFmtId="0" fontId="21" fillId="14" borderId="51" xfId="0" applyFont="1" applyFill="1" applyBorder="1" applyAlignment="1" applyProtection="1">
      <alignment horizontal="center" vertical="center" wrapText="1"/>
      <protection locked="0"/>
    </xf>
    <xf numFmtId="0" fontId="21" fillId="14" borderId="47" xfId="0" applyFont="1" applyFill="1" applyBorder="1" applyAlignment="1" applyProtection="1">
      <alignment horizontal="center" vertical="center" wrapText="1"/>
      <protection locked="0"/>
    </xf>
    <xf numFmtId="0" fontId="21" fillId="14" borderId="3" xfId="0" applyFont="1" applyFill="1" applyBorder="1" applyAlignment="1" applyProtection="1">
      <alignment horizontal="center" vertical="center" wrapText="1"/>
      <protection locked="0"/>
    </xf>
    <xf numFmtId="0" fontId="21" fillId="14" borderId="48" xfId="0" applyFont="1" applyFill="1" applyBorder="1" applyAlignment="1" applyProtection="1">
      <alignment horizontal="center" vertical="center" wrapText="1"/>
      <protection locked="0"/>
    </xf>
    <xf numFmtId="0" fontId="8" fillId="15" borderId="28" xfId="0" applyFont="1" applyFill="1" applyBorder="1" applyAlignment="1">
      <alignment horizontal="center" vertical="center" wrapText="1"/>
    </xf>
    <xf numFmtId="0" fontId="8" fillId="15" borderId="22" xfId="0" applyFont="1" applyFill="1" applyBorder="1" applyAlignment="1">
      <alignment horizontal="center" vertical="center" wrapText="1"/>
    </xf>
    <xf numFmtId="0" fontId="8" fillId="15" borderId="31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31" xfId="0" applyFont="1" applyFill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165" fontId="4" fillId="0" borderId="58" xfId="0" applyNumberFormat="1" applyFont="1" applyBorder="1" applyAlignment="1">
      <alignment horizontal="center" vertical="center" wrapText="1"/>
    </xf>
    <xf numFmtId="165" fontId="4" fillId="0" borderId="56" xfId="0" applyNumberFormat="1" applyFont="1" applyBorder="1" applyAlignment="1">
      <alignment horizontal="center" vertical="center" wrapText="1"/>
    </xf>
    <xf numFmtId="165" fontId="4" fillId="0" borderId="61" xfId="0" applyNumberFormat="1" applyFont="1" applyBorder="1" applyAlignment="1">
      <alignment horizontal="center" vertical="center" wrapText="1"/>
    </xf>
    <xf numFmtId="164" fontId="4" fillId="0" borderId="58" xfId="0" quotePrefix="1" applyNumberFormat="1" applyFont="1" applyBorder="1" applyAlignment="1">
      <alignment horizontal="center" vertical="center" wrapText="1"/>
    </xf>
    <xf numFmtId="164" fontId="4" fillId="0" borderId="56" xfId="0" quotePrefix="1" applyNumberFormat="1" applyFont="1" applyBorder="1" applyAlignment="1">
      <alignment horizontal="center" vertical="center" wrapText="1"/>
    </xf>
    <xf numFmtId="164" fontId="4" fillId="0" borderId="61" xfId="0" quotePrefix="1" applyNumberFormat="1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16" borderId="25" xfId="0" applyFont="1" applyFill="1" applyBorder="1" applyAlignment="1" applyProtection="1">
      <alignment horizontal="center" vertical="center" wrapText="1"/>
      <protection locked="0"/>
    </xf>
    <xf numFmtId="0" fontId="5" fillId="16" borderId="41" xfId="0" applyFont="1" applyFill="1" applyBorder="1" applyAlignment="1" applyProtection="1">
      <alignment horizontal="center" vertical="center" wrapText="1"/>
      <protection locked="0"/>
    </xf>
    <xf numFmtId="0" fontId="5" fillId="16" borderId="42" xfId="0" applyFont="1" applyFill="1" applyBorder="1" applyAlignment="1" applyProtection="1">
      <alignment horizontal="center" vertical="center" wrapText="1"/>
      <protection locked="0"/>
    </xf>
    <xf numFmtId="0" fontId="18" fillId="16" borderId="25" xfId="0" applyFont="1" applyFill="1" applyBorder="1" applyAlignment="1" applyProtection="1">
      <alignment horizontal="center" vertical="center" wrapText="1"/>
      <protection locked="0"/>
    </xf>
    <xf numFmtId="0" fontId="18" fillId="16" borderId="41" xfId="0" applyFont="1" applyFill="1" applyBorder="1" applyAlignment="1" applyProtection="1">
      <alignment horizontal="center" vertical="center" wrapText="1"/>
      <protection locked="0"/>
    </xf>
    <xf numFmtId="0" fontId="5" fillId="17" borderId="25" xfId="0" applyFont="1" applyFill="1" applyBorder="1" applyAlignment="1" applyProtection="1">
      <alignment horizontal="center" vertical="center" wrapText="1"/>
      <protection locked="0"/>
    </xf>
    <xf numFmtId="0" fontId="5" fillId="17" borderId="41" xfId="0" applyFont="1" applyFill="1" applyBorder="1" applyAlignment="1" applyProtection="1">
      <alignment horizontal="center" vertical="center" wrapText="1"/>
      <protection locked="0"/>
    </xf>
    <xf numFmtId="0" fontId="19" fillId="16" borderId="25" xfId="0" applyFont="1" applyFill="1" applyBorder="1" applyAlignment="1" applyProtection="1">
      <alignment horizontal="center" vertical="center" wrapText="1"/>
      <protection locked="0"/>
    </xf>
    <xf numFmtId="0" fontId="19" fillId="16" borderId="41" xfId="0" applyFont="1" applyFill="1" applyBorder="1" applyAlignment="1" applyProtection="1">
      <alignment horizontal="center" vertical="center" wrapText="1"/>
      <protection locked="0"/>
    </xf>
    <xf numFmtId="0" fontId="7" fillId="16" borderId="25" xfId="0" applyFont="1" applyFill="1" applyBorder="1" applyAlignment="1" applyProtection="1">
      <alignment horizontal="center" vertical="center" wrapText="1"/>
      <protection locked="0"/>
    </xf>
    <xf numFmtId="0" fontId="7" fillId="16" borderId="41" xfId="0" applyFont="1" applyFill="1" applyBorder="1" applyAlignment="1" applyProtection="1">
      <alignment horizontal="center" vertical="center" wrapText="1"/>
      <protection locked="0"/>
    </xf>
    <xf numFmtId="0" fontId="5" fillId="16" borderId="58" xfId="0" applyFont="1" applyFill="1" applyBorder="1" applyAlignment="1" applyProtection="1">
      <alignment horizontal="center" vertical="center" wrapText="1"/>
      <protection locked="0"/>
    </xf>
    <xf numFmtId="0" fontId="5" fillId="16" borderId="56" xfId="0" applyFont="1" applyFill="1" applyBorder="1" applyAlignment="1" applyProtection="1">
      <alignment horizontal="center" vertical="center" wrapText="1"/>
      <protection locked="0"/>
    </xf>
    <xf numFmtId="0" fontId="5" fillId="16" borderId="61" xfId="0" applyFont="1" applyFill="1" applyBorder="1" applyAlignment="1" applyProtection="1">
      <alignment horizontal="center" vertical="center" wrapText="1"/>
      <protection locked="0"/>
    </xf>
    <xf numFmtId="0" fontId="5" fillId="24" borderId="25" xfId="0" applyFont="1" applyFill="1" applyBorder="1" applyAlignment="1" applyProtection="1">
      <alignment horizontal="center" vertical="center" wrapText="1"/>
      <protection locked="0"/>
    </xf>
    <xf numFmtId="0" fontId="5" fillId="24" borderId="41" xfId="0" applyFont="1" applyFill="1" applyBorder="1" applyAlignment="1" applyProtection="1">
      <alignment horizontal="center" vertical="center" wrapText="1"/>
      <protection locked="0"/>
    </xf>
    <xf numFmtId="0" fontId="3" fillId="18" borderId="35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 wrapText="1"/>
    </xf>
    <xf numFmtId="0" fontId="3" fillId="18" borderId="31" xfId="0" applyFont="1" applyFill="1" applyBorder="1" applyAlignment="1">
      <alignment horizontal="center" vertical="center" wrapText="1"/>
    </xf>
    <xf numFmtId="165" fontId="4" fillId="0" borderId="70" xfId="0" applyNumberFormat="1" applyFont="1" applyBorder="1" applyAlignment="1">
      <alignment horizontal="center" vertical="center" wrapText="1"/>
    </xf>
    <xf numFmtId="165" fontId="4" fillId="0" borderId="71" xfId="0" applyNumberFormat="1" applyFont="1" applyBorder="1" applyAlignment="1">
      <alignment horizontal="center" vertical="center" wrapText="1"/>
    </xf>
    <xf numFmtId="0" fontId="18" fillId="2" borderId="32" xfId="0" applyFont="1" applyFill="1" applyBorder="1" applyAlignment="1" applyProtection="1">
      <alignment horizontal="center" vertical="center" wrapText="1"/>
      <protection locked="0"/>
    </xf>
    <xf numFmtId="0" fontId="18" fillId="2" borderId="51" xfId="0" applyFont="1" applyFill="1" applyBorder="1" applyAlignment="1" applyProtection="1">
      <alignment horizontal="center" vertical="center" wrapText="1"/>
      <protection locked="0"/>
    </xf>
    <xf numFmtId="0" fontId="5" fillId="24" borderId="32" xfId="0" applyFont="1" applyFill="1" applyBorder="1" applyAlignment="1" applyProtection="1">
      <alignment horizontal="center" vertical="center" wrapText="1"/>
      <protection locked="0"/>
    </xf>
    <xf numFmtId="0" fontId="5" fillId="24" borderId="51" xfId="0" applyFont="1" applyFill="1" applyBorder="1" applyAlignment="1" applyProtection="1">
      <alignment horizontal="center" vertical="center" wrapText="1"/>
      <protection locked="0"/>
    </xf>
    <xf numFmtId="0" fontId="22" fillId="15" borderId="35" xfId="0" applyFont="1" applyFill="1" applyBorder="1" applyAlignment="1">
      <alignment horizontal="center" vertical="center" wrapText="1"/>
    </xf>
    <xf numFmtId="0" fontId="22" fillId="15" borderId="22" xfId="0" applyFont="1" applyFill="1" applyBorder="1" applyAlignment="1">
      <alignment horizontal="center" vertical="center" wrapText="1"/>
    </xf>
    <xf numFmtId="0" fontId="22" fillId="15" borderId="31" xfId="0" applyFont="1" applyFill="1" applyBorder="1" applyAlignment="1">
      <alignment horizontal="center" vertical="center" wrapText="1"/>
    </xf>
    <xf numFmtId="0" fontId="5" fillId="11" borderId="25" xfId="0" applyFont="1" applyFill="1" applyBorder="1" applyAlignment="1" applyProtection="1">
      <alignment horizontal="center" vertical="center" wrapText="1"/>
      <protection locked="0"/>
    </xf>
    <xf numFmtId="0" fontId="5" fillId="11" borderId="41" xfId="0" applyFont="1" applyFill="1" applyBorder="1" applyAlignment="1" applyProtection="1">
      <alignment horizontal="center" vertical="center" wrapText="1"/>
      <protection locked="0"/>
    </xf>
    <xf numFmtId="0" fontId="4" fillId="0" borderId="50" xfId="0" applyFont="1" applyBorder="1" applyAlignment="1" applyProtection="1">
      <alignment horizontal="left" vertical="center"/>
      <protection locked="0"/>
    </xf>
    <xf numFmtId="0" fontId="4" fillId="0" borderId="51" xfId="0" applyFont="1" applyBorder="1" applyAlignment="1" applyProtection="1">
      <alignment horizontal="left" vertical="center"/>
      <protection locked="0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11" xfId="0" applyFont="1" applyBorder="1" applyAlignment="1" applyProtection="1">
      <alignment horizontal="center" vertical="center" wrapText="1"/>
      <protection locked="0"/>
    </xf>
    <xf numFmtId="0" fontId="23" fillId="0" borderId="32" xfId="0" applyFont="1" applyBorder="1" applyAlignment="1" applyProtection="1">
      <alignment horizontal="center" vertical="center" wrapText="1"/>
      <protection locked="0"/>
    </xf>
    <xf numFmtId="0" fontId="23" fillId="0" borderId="50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51" xfId="0" applyFont="1" applyBorder="1" applyAlignment="1" applyProtection="1">
      <alignment horizontal="center" vertical="center" wrapText="1"/>
      <protection locked="0"/>
    </xf>
    <xf numFmtId="0" fontId="23" fillId="0" borderId="47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 applyProtection="1">
      <alignment horizontal="center" vertical="center" wrapText="1"/>
      <protection locked="0"/>
    </xf>
    <xf numFmtId="0" fontId="18" fillId="9" borderId="42" xfId="0" applyFont="1" applyFill="1" applyBorder="1" applyAlignment="1" applyProtection="1">
      <alignment horizontal="center" vertical="center" wrapText="1"/>
      <protection locked="0"/>
    </xf>
    <xf numFmtId="0" fontId="18" fillId="2" borderId="42" xfId="0" applyFont="1" applyFill="1" applyBorder="1" applyAlignment="1" applyProtection="1">
      <alignment horizontal="center" vertical="center" wrapText="1"/>
      <protection locked="0"/>
    </xf>
    <xf numFmtId="0" fontId="7" fillId="2" borderId="42" xfId="0" applyFont="1" applyFill="1" applyBorder="1" applyAlignment="1" applyProtection="1">
      <alignment horizontal="center" vertical="center" wrapText="1"/>
      <protection locked="0"/>
    </xf>
    <xf numFmtId="0" fontId="19" fillId="2" borderId="42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0" fontId="5" fillId="2" borderId="51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62" xfId="0" applyFont="1" applyFill="1" applyBorder="1" applyAlignment="1" applyProtection="1">
      <alignment horizontal="center" vertical="center" wrapText="1"/>
      <protection locked="0"/>
    </xf>
    <xf numFmtId="0" fontId="5" fillId="2" borderId="63" xfId="0" applyFont="1" applyFill="1" applyBorder="1" applyAlignment="1" applyProtection="1">
      <alignment horizontal="center" vertical="center" wrapText="1"/>
      <protection locked="0"/>
    </xf>
    <xf numFmtId="0" fontId="5" fillId="2" borderId="64" xfId="0" applyFont="1" applyFill="1" applyBorder="1" applyAlignment="1" applyProtection="1">
      <alignment horizontal="center" vertical="center" wrapText="1"/>
      <protection locked="0"/>
    </xf>
    <xf numFmtId="0" fontId="8" fillId="8" borderId="55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0000000}"/>
    <cellStyle name="Normal 3" xfId="3" xr:uid="{00000000-0005-0000-0000-000001000000}"/>
    <cellStyle name="Undefiniert" xfId="1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0DA"/>
      <color rgb="FFEDD2F7"/>
      <color rgb="FFFFFFFF"/>
      <color rgb="FFFAD76E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D592-24DB-1447-8EF2-BF69DC5ACF0A}">
  <sheetPr>
    <tabColor rgb="FFFFFF00"/>
    <pageSetUpPr fitToPage="1"/>
  </sheetPr>
  <dimension ref="A1:Q71"/>
  <sheetViews>
    <sheetView zoomScaleNormal="100" zoomScaleSheetLayoutView="120" workbookViewId="0">
      <selection activeCell="H27" sqref="H27:I29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10" width="12.109375" style="3" customWidth="1"/>
    <col min="11" max="11" width="20.44140625" customWidth="1"/>
    <col min="12" max="12" width="4.33203125" customWidth="1"/>
    <col min="13" max="13" width="12.33203125" customWidth="1"/>
    <col min="14" max="14" width="12.5546875" customWidth="1"/>
    <col min="15" max="15" width="27.6640625" customWidth="1"/>
    <col min="16" max="16" width="9" customWidth="1"/>
    <col min="17" max="17" width="21.33203125" customWidth="1"/>
  </cols>
  <sheetData>
    <row r="1" spans="1:17" ht="35.1" customHeight="1" thickBot="1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30" t="s">
        <v>1</v>
      </c>
      <c r="K1" s="31" t="s">
        <v>2</v>
      </c>
      <c r="O1" s="5"/>
      <c r="P1" s="5"/>
      <c r="Q1" s="5"/>
    </row>
    <row r="2" spans="1:17" s="4" customFormat="1" ht="29.25" thickBot="1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 s="10" t="s">
        <v>11</v>
      </c>
      <c r="L2"/>
    </row>
    <row r="3" spans="1:17" s="4" customFormat="1" ht="18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42"/>
      <c r="F3" s="42"/>
      <c r="G3" s="11"/>
      <c r="H3" s="11"/>
      <c r="I3" s="11"/>
      <c r="J3" s="206"/>
      <c r="K3" s="184"/>
      <c r="L3" s="9"/>
      <c r="M3" s="12" t="s">
        <v>13</v>
      </c>
      <c r="N3" s="12" t="s">
        <v>14</v>
      </c>
      <c r="O3" s="15"/>
    </row>
    <row r="4" spans="1:17" s="4" customFormat="1" ht="18" customHeight="1">
      <c r="A4" s="199"/>
      <c r="B4" s="201"/>
      <c r="C4" s="203"/>
      <c r="D4" s="205"/>
      <c r="E4" s="43"/>
      <c r="F4" s="43"/>
      <c r="G4" s="12"/>
      <c r="H4" s="12"/>
      <c r="I4" s="12"/>
      <c r="J4" s="207"/>
      <c r="K4" s="185"/>
      <c r="L4" s="9"/>
      <c r="M4" s="12" t="s">
        <v>15</v>
      </c>
      <c r="N4" s="12" t="s">
        <v>16</v>
      </c>
      <c r="O4" s="15"/>
    </row>
    <row r="5" spans="1:17" s="4" customFormat="1" ht="18" customHeight="1" thickBot="1">
      <c r="A5" s="199"/>
      <c r="B5" s="201"/>
      <c r="C5" s="203"/>
      <c r="D5" s="205"/>
      <c r="E5" s="44"/>
      <c r="F5" s="43"/>
      <c r="G5" s="12"/>
      <c r="H5" s="12"/>
      <c r="I5" s="12"/>
      <c r="J5" s="207"/>
      <c r="K5" s="185"/>
      <c r="L5" s="9"/>
      <c r="M5" s="12" t="s">
        <v>17</v>
      </c>
      <c r="N5" s="12" t="s">
        <v>18</v>
      </c>
      <c r="O5" s="15"/>
    </row>
    <row r="6" spans="1:17" s="4" customFormat="1" ht="18" customHeight="1">
      <c r="A6" s="208">
        <f>A3+1</f>
        <v>2</v>
      </c>
      <c r="B6" s="210">
        <f>D3+3</f>
        <v>46062</v>
      </c>
      <c r="C6" s="202" t="s">
        <v>12</v>
      </c>
      <c r="D6" s="204">
        <f t="shared" ref="D6:D63" si="0">B6+4</f>
        <v>46066</v>
      </c>
      <c r="E6" s="11"/>
      <c r="F6" s="11"/>
      <c r="G6" s="11"/>
      <c r="H6" s="11"/>
      <c r="I6" s="11"/>
      <c r="J6" s="206"/>
      <c r="K6" s="184"/>
      <c r="L6" s="1"/>
      <c r="M6" s="15"/>
      <c r="N6" s="15"/>
      <c r="O6" s="15"/>
    </row>
    <row r="7" spans="1:17" s="4" customFormat="1" ht="18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85"/>
      <c r="L7" s="1"/>
      <c r="M7" s="15"/>
      <c r="N7" s="15"/>
      <c r="O7" s="15"/>
    </row>
    <row r="8" spans="1:17" s="4" customFormat="1" ht="18" customHeight="1" thickBo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85"/>
      <c r="L8" s="1"/>
      <c r="M8" s="33" t="s">
        <v>19</v>
      </c>
      <c r="N8" s="33" t="s">
        <v>20</v>
      </c>
      <c r="O8" s="15"/>
    </row>
    <row r="9" spans="1:17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42"/>
      <c r="F9" s="42"/>
      <c r="G9" s="42"/>
      <c r="H9" s="42"/>
      <c r="I9" s="42"/>
      <c r="J9" s="206"/>
      <c r="K9" s="184" t="s">
        <v>21</v>
      </c>
      <c r="M9" s="16" t="s">
        <v>22</v>
      </c>
      <c r="N9" s="16" t="s">
        <v>23</v>
      </c>
      <c r="O9" s="15"/>
    </row>
    <row r="10" spans="1:17" s="4" customFormat="1" ht="18" customHeight="1">
      <c r="A10" s="209"/>
      <c r="B10" s="211"/>
      <c r="C10" s="203"/>
      <c r="D10" s="205"/>
      <c r="E10" s="43"/>
      <c r="F10" s="43"/>
      <c r="G10" s="43"/>
      <c r="H10" s="43"/>
      <c r="I10" s="43"/>
      <c r="J10" s="207"/>
      <c r="K10" s="185"/>
      <c r="M10" s="16" t="s">
        <v>24</v>
      </c>
      <c r="N10" s="16" t="s">
        <v>25</v>
      </c>
      <c r="O10" s="15"/>
    </row>
    <row r="11" spans="1:17" s="4" customFormat="1" ht="18" customHeight="1" thickBot="1">
      <c r="A11" s="209"/>
      <c r="B11" s="211"/>
      <c r="C11" s="203"/>
      <c r="D11" s="205"/>
      <c r="E11" s="43"/>
      <c r="F11" s="43"/>
      <c r="G11" s="43"/>
      <c r="H11" s="43"/>
      <c r="I11" s="43"/>
      <c r="J11" s="207"/>
      <c r="K11" s="185"/>
      <c r="M11" s="16" t="s">
        <v>26</v>
      </c>
      <c r="N11" s="16" t="s">
        <v>27</v>
      </c>
      <c r="O11" s="15"/>
    </row>
    <row r="12" spans="1:17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K12" s="184"/>
      <c r="M12" s="15"/>
      <c r="N12" s="15"/>
      <c r="O12" s="15"/>
      <c r="P12" s="7"/>
    </row>
    <row r="13" spans="1:17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K13" s="185"/>
      <c r="M13" s="15"/>
      <c r="N13" s="15"/>
      <c r="O13" s="15"/>
      <c r="P13" s="7"/>
    </row>
    <row r="14" spans="1:17" s="4" customFormat="1" ht="18" customHeight="1" thickBo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K14" s="185"/>
      <c r="M14" s="15"/>
      <c r="N14" s="15"/>
      <c r="O14" s="15"/>
      <c r="P14" s="7"/>
    </row>
    <row r="15" spans="1:17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K15" s="184"/>
      <c r="M15" s="17" t="s">
        <v>15</v>
      </c>
      <c r="N15" s="15"/>
      <c r="O15" s="15"/>
    </row>
    <row r="16" spans="1:17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K16" s="185"/>
      <c r="M16" s="245" t="s">
        <v>28</v>
      </c>
      <c r="N16" s="245"/>
      <c r="O16" s="245"/>
      <c r="Q16" s="8"/>
    </row>
    <row r="17" spans="1:15" s="4" customFormat="1" ht="18" customHeight="1" thickBo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K17" s="185"/>
      <c r="M17" s="245"/>
      <c r="N17" s="245"/>
      <c r="O17" s="245"/>
    </row>
    <row r="18" spans="1:15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06"/>
      <c r="K18" s="184"/>
      <c r="M18" s="17" t="s">
        <v>29</v>
      </c>
      <c r="N18" s="15"/>
      <c r="O18" s="15"/>
    </row>
    <row r="19" spans="1:15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07"/>
      <c r="K19" s="185"/>
      <c r="M19" s="245" t="s">
        <v>30</v>
      </c>
      <c r="N19" s="245"/>
      <c r="O19" s="245"/>
    </row>
    <row r="20" spans="1:15" s="4" customFormat="1" ht="18" customHeight="1" thickBot="1">
      <c r="A20" s="209"/>
      <c r="B20" s="211"/>
      <c r="C20" s="203"/>
      <c r="D20" s="205"/>
      <c r="E20" s="12"/>
      <c r="F20" s="12"/>
      <c r="G20" s="12"/>
      <c r="H20" s="12"/>
      <c r="I20" s="12"/>
      <c r="J20" s="207"/>
      <c r="K20" s="185"/>
      <c r="M20" s="245"/>
      <c r="N20" s="245"/>
      <c r="O20" s="245"/>
    </row>
    <row r="21" spans="1:15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11"/>
      <c r="H21" s="11"/>
      <c r="I21" s="11"/>
      <c r="J21" s="206"/>
      <c r="K21" s="184"/>
      <c r="M21" s="15"/>
      <c r="N21" s="15"/>
      <c r="O21" s="15"/>
    </row>
    <row r="22" spans="1:15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07"/>
      <c r="K22" s="185"/>
      <c r="M22" s="18"/>
      <c r="N22" s="18"/>
      <c r="O22" s="18"/>
    </row>
    <row r="23" spans="1:15" s="4" customFormat="1" ht="18" customHeight="1" thickBot="1">
      <c r="A23" s="209"/>
      <c r="B23" s="211"/>
      <c r="C23" s="203"/>
      <c r="D23" s="205"/>
      <c r="E23" s="12"/>
      <c r="F23" s="12"/>
      <c r="G23" s="12"/>
      <c r="H23" s="12"/>
      <c r="I23" s="12"/>
      <c r="J23" s="207"/>
      <c r="K23" s="185"/>
      <c r="L23" s="6"/>
      <c r="M23" s="19"/>
      <c r="N23" s="19"/>
      <c r="O23" s="15"/>
    </row>
    <row r="24" spans="1:15" s="4" customFormat="1" ht="18" customHeight="1" thickBo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11"/>
      <c r="G24" s="11"/>
      <c r="H24" s="11"/>
      <c r="I24" s="11"/>
      <c r="J24" s="206"/>
      <c r="K24" s="184"/>
      <c r="M24" s="171" t="s">
        <v>31</v>
      </c>
      <c r="N24" s="172"/>
      <c r="O24" s="173"/>
    </row>
    <row r="25" spans="1:15" s="4" customFormat="1" ht="18" customHeight="1">
      <c r="A25" s="209"/>
      <c r="B25" s="211"/>
      <c r="C25" s="203"/>
      <c r="D25" s="205"/>
      <c r="E25" s="12"/>
      <c r="F25" s="12"/>
      <c r="G25" s="12"/>
      <c r="H25" s="12"/>
      <c r="I25" s="12"/>
      <c r="J25" s="207"/>
      <c r="K25" s="185"/>
      <c r="M25" s="20"/>
      <c r="N25" s="174" t="s">
        <v>32</v>
      </c>
      <c r="O25" s="175"/>
    </row>
    <row r="26" spans="1:15" s="4" customFormat="1" ht="18" customHeight="1" thickBot="1">
      <c r="A26" s="209"/>
      <c r="B26" s="211"/>
      <c r="C26" s="203"/>
      <c r="D26" s="205"/>
      <c r="E26" s="12"/>
      <c r="F26" s="12"/>
      <c r="G26" s="12"/>
      <c r="H26" s="12"/>
      <c r="I26" s="12"/>
      <c r="J26" s="207"/>
      <c r="K26" s="185"/>
      <c r="M26" s="21"/>
      <c r="N26" s="176" t="s">
        <v>33</v>
      </c>
      <c r="O26" s="177"/>
    </row>
    <row r="27" spans="1:15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11"/>
      <c r="F27" s="11"/>
      <c r="G27" s="11"/>
      <c r="H27" s="36"/>
      <c r="I27" s="36"/>
      <c r="J27" s="206"/>
      <c r="K27" s="184" t="s">
        <v>34</v>
      </c>
      <c r="M27" s="22"/>
      <c r="N27" s="176" t="s">
        <v>35</v>
      </c>
      <c r="O27" s="177"/>
    </row>
    <row r="28" spans="1:15" s="4" customFormat="1" ht="18" customHeight="1">
      <c r="A28" s="209"/>
      <c r="B28" s="211"/>
      <c r="C28" s="203"/>
      <c r="D28" s="205"/>
      <c r="E28" s="12"/>
      <c r="F28" s="12"/>
      <c r="G28" s="12"/>
      <c r="H28" s="37"/>
      <c r="I28" s="37"/>
      <c r="J28" s="207"/>
      <c r="K28" s="185"/>
      <c r="M28" s="23"/>
      <c r="N28" s="178" t="s">
        <v>36</v>
      </c>
      <c r="O28" s="179"/>
    </row>
    <row r="29" spans="1:15" s="4" customFormat="1" ht="18" customHeight="1" thickBot="1">
      <c r="A29" s="209"/>
      <c r="B29" s="211"/>
      <c r="C29" s="203"/>
      <c r="D29" s="205"/>
      <c r="E29" s="12"/>
      <c r="F29" s="12"/>
      <c r="G29" s="12"/>
      <c r="H29" s="37"/>
      <c r="I29" s="37"/>
      <c r="J29" s="207"/>
      <c r="K29" s="185"/>
      <c r="M29" s="24"/>
      <c r="N29" s="180" t="s">
        <v>37</v>
      </c>
      <c r="O29" s="181"/>
    </row>
    <row r="30" spans="1:15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1"/>
      <c r="F30" s="11"/>
      <c r="G30" s="11"/>
      <c r="H30" s="11"/>
      <c r="I30" s="11"/>
      <c r="J30" s="206"/>
      <c r="K30" s="184"/>
      <c r="M30" s="22"/>
      <c r="N30" s="25" t="s">
        <v>38</v>
      </c>
      <c r="O30" s="26"/>
    </row>
    <row r="31" spans="1:15" s="4" customFormat="1" ht="18" customHeight="1" thickBot="1">
      <c r="A31" s="209"/>
      <c r="B31" s="211"/>
      <c r="C31" s="203"/>
      <c r="D31" s="205"/>
      <c r="E31" s="12"/>
      <c r="F31" s="12"/>
      <c r="G31" s="12"/>
      <c r="H31" s="12"/>
      <c r="I31" s="12"/>
      <c r="J31" s="207"/>
      <c r="K31" s="185"/>
      <c r="M31" s="27"/>
      <c r="N31" s="182" t="s">
        <v>39</v>
      </c>
      <c r="O31" s="183"/>
    </row>
    <row r="32" spans="1:15" s="4" customFormat="1" ht="18" customHeight="1" thickBot="1">
      <c r="A32" s="209"/>
      <c r="B32" s="211"/>
      <c r="C32" s="203"/>
      <c r="D32" s="205"/>
      <c r="E32" s="12"/>
      <c r="F32" s="12"/>
      <c r="G32" s="12"/>
      <c r="H32" s="12"/>
      <c r="I32" s="12"/>
      <c r="J32" s="207"/>
      <c r="K32" s="185"/>
      <c r="M32" s="28"/>
      <c r="N32" s="15"/>
      <c r="O32" s="15"/>
    </row>
    <row r="33" spans="1:15" s="4" customFormat="1" ht="18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1"/>
      <c r="F33" s="11"/>
      <c r="G33" s="11"/>
      <c r="H33" s="11"/>
      <c r="I33" s="11"/>
      <c r="J33" s="206"/>
      <c r="K33" s="184"/>
      <c r="M33" s="17"/>
      <c r="N33" s="15"/>
      <c r="O33" s="29"/>
    </row>
    <row r="34" spans="1:15" s="4" customFormat="1" ht="18" customHeight="1">
      <c r="A34" s="213"/>
      <c r="B34" s="215"/>
      <c r="C34" s="218"/>
      <c r="D34" s="215"/>
      <c r="E34" s="12"/>
      <c r="F34" s="12"/>
      <c r="G34" s="12"/>
      <c r="H34" s="12"/>
      <c r="I34" s="12"/>
      <c r="J34" s="207"/>
      <c r="K34" s="185"/>
      <c r="M34" s="32"/>
      <c r="N34" s="32"/>
      <c r="O34" s="32"/>
    </row>
    <row r="35" spans="1:15" s="4" customFormat="1" ht="18" customHeight="1" thickBot="1">
      <c r="A35" s="213"/>
      <c r="B35" s="216"/>
      <c r="C35" s="218"/>
      <c r="D35" s="216"/>
      <c r="E35" s="12"/>
      <c r="F35" s="12"/>
      <c r="G35" s="12"/>
      <c r="H35" s="12"/>
      <c r="I35" s="12"/>
      <c r="J35" s="207"/>
      <c r="K35" s="185"/>
      <c r="M35" s="15"/>
      <c r="N35" s="15"/>
      <c r="O35" s="15"/>
    </row>
    <row r="36" spans="1:15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11"/>
      <c r="F36" s="36"/>
      <c r="G36" s="11"/>
      <c r="H36" s="36"/>
      <c r="I36" s="11"/>
      <c r="J36" s="206"/>
      <c r="K36" s="184" t="s">
        <v>40</v>
      </c>
    </row>
    <row r="37" spans="1:15" s="4" customFormat="1" ht="18" customHeight="1">
      <c r="A37" s="209"/>
      <c r="B37" s="211"/>
      <c r="C37" s="203"/>
      <c r="D37" s="205"/>
      <c r="E37" s="12"/>
      <c r="F37" s="37"/>
      <c r="G37" s="12"/>
      <c r="H37" s="37"/>
      <c r="I37" s="12"/>
      <c r="J37" s="207"/>
      <c r="K37" s="185"/>
    </row>
    <row r="38" spans="1:15" s="4" customFormat="1" ht="18" customHeight="1" thickBot="1">
      <c r="A38" s="209"/>
      <c r="B38" s="211"/>
      <c r="C38" s="203"/>
      <c r="D38" s="205"/>
      <c r="E38" s="12"/>
      <c r="F38" s="37"/>
      <c r="G38" s="12"/>
      <c r="H38" s="37"/>
      <c r="I38" s="12"/>
      <c r="J38" s="207"/>
      <c r="K38" s="185"/>
    </row>
    <row r="39" spans="1:15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/>
      <c r="F39" s="11"/>
      <c r="G39" s="11"/>
      <c r="H39" s="11"/>
      <c r="I39" s="11"/>
      <c r="J39" s="206"/>
      <c r="K39" s="184"/>
    </row>
    <row r="40" spans="1:15" s="4" customFormat="1" ht="18" customHeight="1">
      <c r="A40" s="209"/>
      <c r="B40" s="211"/>
      <c r="C40" s="203"/>
      <c r="D40" s="205"/>
      <c r="E40" s="12"/>
      <c r="F40" s="12"/>
      <c r="G40" s="12"/>
      <c r="H40" s="12"/>
      <c r="I40" s="12"/>
      <c r="J40" s="207"/>
      <c r="K40" s="185"/>
    </row>
    <row r="41" spans="1:15" s="4" customFormat="1" ht="18" customHeight="1" thickBot="1">
      <c r="A41" s="209"/>
      <c r="B41" s="211"/>
      <c r="C41" s="203"/>
      <c r="D41" s="205"/>
      <c r="E41" s="12"/>
      <c r="F41" s="12"/>
      <c r="G41" s="12"/>
      <c r="H41" s="12"/>
      <c r="I41" s="12"/>
      <c r="J41" s="207"/>
      <c r="K41" s="185"/>
    </row>
    <row r="42" spans="1:15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/>
      <c r="G42" s="11"/>
      <c r="H42" s="11"/>
      <c r="I42" s="11"/>
      <c r="J42" s="229"/>
      <c r="K42" s="184"/>
    </row>
    <row r="43" spans="1:15" s="4" customFormat="1" ht="18" customHeight="1">
      <c r="A43" s="209"/>
      <c r="B43" s="211"/>
      <c r="C43" s="203"/>
      <c r="D43" s="205"/>
      <c r="E43" s="12"/>
      <c r="F43" s="12"/>
      <c r="G43" s="12"/>
      <c r="H43" s="12"/>
      <c r="I43" s="12"/>
      <c r="J43" s="226"/>
      <c r="K43" s="185"/>
    </row>
    <row r="44" spans="1:15" s="4" customFormat="1" ht="18" customHeight="1" thickBot="1">
      <c r="A44" s="209"/>
      <c r="B44" s="211"/>
      <c r="C44" s="203"/>
      <c r="D44" s="205"/>
      <c r="E44" s="12"/>
      <c r="F44" s="12"/>
      <c r="G44" s="12"/>
      <c r="H44" s="12"/>
      <c r="I44" s="12"/>
      <c r="J44" s="226"/>
      <c r="K44" s="185"/>
    </row>
    <row r="45" spans="1:15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11"/>
      <c r="H45" s="11"/>
      <c r="I45" s="11"/>
      <c r="J45" s="221"/>
      <c r="K45" s="184"/>
    </row>
    <row r="46" spans="1:15" s="4" customFormat="1" ht="18" customHeight="1">
      <c r="A46" s="209"/>
      <c r="B46" s="211"/>
      <c r="C46" s="220"/>
      <c r="D46" s="205"/>
      <c r="E46" s="12"/>
      <c r="F46" s="12"/>
      <c r="G46" s="12"/>
      <c r="H46" s="12"/>
      <c r="I46" s="12"/>
      <c r="J46" s="222"/>
      <c r="K46" s="185"/>
    </row>
    <row r="47" spans="1:15" s="4" customFormat="1" ht="18" customHeight="1" thickBot="1">
      <c r="A47" s="209"/>
      <c r="B47" s="211"/>
      <c r="C47" s="220"/>
      <c r="D47" s="205"/>
      <c r="E47" s="12"/>
      <c r="F47" s="12"/>
      <c r="G47" s="12"/>
      <c r="H47" s="12"/>
      <c r="I47" s="12"/>
      <c r="J47" s="222"/>
      <c r="K47" s="185"/>
    </row>
    <row r="48" spans="1:15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1"/>
      <c r="F48" s="11"/>
      <c r="G48" s="11"/>
      <c r="H48" s="11"/>
      <c r="I48" s="11"/>
      <c r="J48" s="246"/>
      <c r="K48" s="184"/>
    </row>
    <row r="49" spans="1:11" s="4" customFormat="1" ht="18" customHeight="1">
      <c r="A49" s="209"/>
      <c r="B49" s="211"/>
      <c r="C49" s="220"/>
      <c r="D49" s="205"/>
      <c r="E49" s="12"/>
      <c r="F49" s="12"/>
      <c r="G49" s="12"/>
      <c r="H49" s="12"/>
      <c r="I49" s="12"/>
      <c r="J49" s="247"/>
      <c r="K49" s="185"/>
    </row>
    <row r="50" spans="1:11" s="4" customFormat="1" ht="18" customHeight="1" thickBot="1">
      <c r="A50" s="209"/>
      <c r="B50" s="211"/>
      <c r="C50" s="220"/>
      <c r="D50" s="205"/>
      <c r="E50" s="12"/>
      <c r="F50" s="12"/>
      <c r="G50" s="12"/>
      <c r="H50" s="12"/>
      <c r="I50" s="12"/>
      <c r="J50" s="247"/>
      <c r="K50" s="185"/>
    </row>
    <row r="51" spans="1:11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1"/>
      <c r="F51" s="11"/>
      <c r="G51" s="11"/>
      <c r="H51" s="11"/>
      <c r="I51" s="11"/>
      <c r="J51" s="229"/>
      <c r="K51" s="184"/>
    </row>
    <row r="52" spans="1:11" s="4" customFormat="1" ht="18" customHeight="1">
      <c r="A52" s="209"/>
      <c r="B52" s="211"/>
      <c r="C52" s="220"/>
      <c r="D52" s="205"/>
      <c r="E52" s="12"/>
      <c r="F52" s="12"/>
      <c r="G52" s="12"/>
      <c r="H52" s="12"/>
      <c r="I52" s="12"/>
      <c r="J52" s="226"/>
      <c r="K52" s="185"/>
    </row>
    <row r="53" spans="1:11" s="4" customFormat="1" ht="18" customHeight="1" thickBot="1">
      <c r="A53" s="209"/>
      <c r="B53" s="211"/>
      <c r="C53" s="220"/>
      <c r="D53" s="205"/>
      <c r="E53" s="12"/>
      <c r="F53" s="12"/>
      <c r="G53" s="12"/>
      <c r="H53" s="12"/>
      <c r="I53" s="12"/>
      <c r="J53" s="226"/>
      <c r="K53" s="185"/>
    </row>
    <row r="54" spans="1:11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1"/>
      <c r="F54" s="11"/>
      <c r="G54" s="11"/>
      <c r="H54" s="36"/>
      <c r="I54" s="36"/>
      <c r="J54" s="229"/>
      <c r="K54" s="184" t="s">
        <v>40</v>
      </c>
    </row>
    <row r="55" spans="1:11" s="4" customFormat="1" ht="18" customHeight="1">
      <c r="A55" s="209"/>
      <c r="B55" s="211"/>
      <c r="C55" s="220"/>
      <c r="D55" s="205"/>
      <c r="E55" s="12"/>
      <c r="F55" s="12"/>
      <c r="G55" s="12"/>
      <c r="H55" s="37"/>
      <c r="I55" s="37"/>
      <c r="J55" s="226"/>
      <c r="K55" s="185"/>
    </row>
    <row r="56" spans="1:11" s="4" customFormat="1" ht="18" customHeight="1" thickBot="1">
      <c r="A56" s="209"/>
      <c r="B56" s="211"/>
      <c r="C56" s="220"/>
      <c r="D56" s="205"/>
      <c r="E56" s="12"/>
      <c r="F56" s="12"/>
      <c r="G56" s="12"/>
      <c r="H56" s="37"/>
      <c r="I56" s="37"/>
      <c r="J56" s="226"/>
      <c r="K56" s="185"/>
    </row>
    <row r="57" spans="1:11" s="4" customFormat="1" ht="18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11"/>
      <c r="G57" s="11"/>
      <c r="H57" s="11"/>
      <c r="I57" s="11"/>
      <c r="J57" s="206"/>
      <c r="K57" s="184"/>
    </row>
    <row r="58" spans="1:11" s="4" customFormat="1" ht="18" customHeight="1">
      <c r="A58" s="209"/>
      <c r="B58" s="211"/>
      <c r="C58" s="220"/>
      <c r="D58" s="205"/>
      <c r="E58" s="12"/>
      <c r="F58" s="12"/>
      <c r="G58" s="12"/>
      <c r="H58" s="12"/>
      <c r="I58" s="12"/>
      <c r="J58" s="207"/>
      <c r="K58" s="185"/>
    </row>
    <row r="59" spans="1:11" s="4" customFormat="1" ht="18" customHeight="1" thickBot="1">
      <c r="A59" s="209"/>
      <c r="B59" s="211"/>
      <c r="C59" s="220"/>
      <c r="D59" s="205"/>
      <c r="E59" s="12"/>
      <c r="F59" s="12"/>
      <c r="G59" s="12"/>
      <c r="H59" s="12"/>
      <c r="I59" s="12"/>
      <c r="J59" s="207"/>
      <c r="K59" s="185"/>
    </row>
    <row r="60" spans="1:11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/>
      <c r="F60" s="11"/>
      <c r="G60" s="11"/>
      <c r="H60" s="11"/>
      <c r="I60" s="11"/>
      <c r="J60" s="206"/>
      <c r="K60" s="184"/>
    </row>
    <row r="61" spans="1:11" s="4" customFormat="1" ht="18" customHeight="1">
      <c r="A61" s="209"/>
      <c r="B61" s="211"/>
      <c r="C61" s="220"/>
      <c r="D61" s="205"/>
      <c r="E61" s="12"/>
      <c r="F61" s="12"/>
      <c r="G61" s="12"/>
      <c r="H61" s="12"/>
      <c r="I61" s="12"/>
      <c r="J61" s="207"/>
      <c r="K61" s="185"/>
    </row>
    <row r="62" spans="1:11" s="4" customFormat="1" ht="18" customHeight="1" thickBot="1">
      <c r="A62" s="209"/>
      <c r="B62" s="211"/>
      <c r="C62" s="220"/>
      <c r="D62" s="205"/>
      <c r="E62" s="12"/>
      <c r="F62" s="12"/>
      <c r="G62" s="12"/>
      <c r="H62" s="12"/>
      <c r="I62" s="12"/>
      <c r="J62" s="207"/>
      <c r="K62" s="185"/>
    </row>
    <row r="63" spans="1:11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si="0"/>
        <v>46199</v>
      </c>
      <c r="E63" s="11"/>
      <c r="F63" s="11"/>
      <c r="G63" s="11"/>
      <c r="H63" s="11"/>
      <c r="I63" s="11"/>
      <c r="J63" s="206"/>
      <c r="K63" s="248"/>
    </row>
    <row r="64" spans="1:11" ht="18" customHeight="1">
      <c r="A64" s="233"/>
      <c r="B64" s="236"/>
      <c r="C64" s="239"/>
      <c r="D64" s="236"/>
      <c r="E64" s="12"/>
      <c r="F64" s="12"/>
      <c r="G64" s="12"/>
      <c r="H64" s="12"/>
      <c r="I64" s="12"/>
      <c r="J64" s="207"/>
      <c r="K64" s="249"/>
    </row>
    <row r="65" spans="1:11" ht="18" customHeight="1" thickBot="1">
      <c r="A65" s="234"/>
      <c r="B65" s="237"/>
      <c r="C65" s="240"/>
      <c r="D65" s="237"/>
      <c r="E65" s="13"/>
      <c r="F65" s="13"/>
      <c r="G65" s="13"/>
      <c r="H65" s="13"/>
      <c r="I65" s="13"/>
      <c r="J65" s="241"/>
      <c r="K65" s="250"/>
    </row>
    <row r="66" spans="1:11" ht="18" customHeight="1">
      <c r="A66" s="232">
        <f t="shared" ref="A66" si="3">A63+1</f>
        <v>22</v>
      </c>
      <c r="B66" s="235">
        <f t="shared" ref="B66" si="4">D63+3</f>
        <v>46202</v>
      </c>
      <c r="C66" s="238" t="s">
        <v>12</v>
      </c>
      <c r="D66" s="235">
        <f t="shared" ref="D66" si="5">B66+4</f>
        <v>46206</v>
      </c>
      <c r="E66" s="11"/>
      <c r="F66" s="11"/>
      <c r="G66" s="11"/>
      <c r="H66" s="11"/>
      <c r="I66" s="11"/>
      <c r="J66" s="206"/>
      <c r="K66" s="248"/>
    </row>
    <row r="67" spans="1:11" ht="18" customHeight="1">
      <c r="A67" s="233"/>
      <c r="B67" s="236"/>
      <c r="C67" s="239"/>
      <c r="D67" s="236"/>
      <c r="E67" s="12"/>
      <c r="F67" s="12"/>
      <c r="G67" s="12"/>
      <c r="H67" s="12"/>
      <c r="I67" s="12"/>
      <c r="J67" s="207"/>
      <c r="K67" s="249"/>
    </row>
    <row r="68" spans="1:11" ht="18" customHeight="1" thickBot="1">
      <c r="A68" s="234"/>
      <c r="B68" s="237"/>
      <c r="C68" s="240"/>
      <c r="D68" s="237"/>
      <c r="E68" s="13"/>
      <c r="F68" s="13"/>
      <c r="G68" s="13"/>
      <c r="H68" s="13"/>
      <c r="I68" s="13"/>
      <c r="J68" s="241"/>
      <c r="K68" s="250"/>
    </row>
    <row r="69" spans="1:11" ht="18" customHeight="1">
      <c r="A69" s="232">
        <f>A66+1</f>
        <v>23</v>
      </c>
      <c r="B69" s="235">
        <f t="shared" ref="B69" si="6">D66+3</f>
        <v>46209</v>
      </c>
      <c r="C69" s="238" t="s">
        <v>12</v>
      </c>
      <c r="D69" s="235">
        <f t="shared" ref="D69" si="7">B69+4</f>
        <v>46213</v>
      </c>
      <c r="E69" s="11"/>
      <c r="F69" s="11"/>
      <c r="G69" s="11"/>
      <c r="H69" s="11"/>
      <c r="I69" s="11"/>
      <c r="J69" s="206"/>
      <c r="K69" s="248"/>
    </row>
    <row r="70" spans="1:11" ht="18" customHeight="1">
      <c r="A70" s="233"/>
      <c r="B70" s="236"/>
      <c r="C70" s="239"/>
      <c r="D70" s="236"/>
      <c r="E70" s="12"/>
      <c r="F70" s="12"/>
      <c r="G70" s="12"/>
      <c r="H70" s="12"/>
      <c r="I70" s="12"/>
      <c r="J70" s="207"/>
      <c r="K70" s="249"/>
    </row>
    <row r="71" spans="1:11" ht="18" customHeight="1" thickBot="1">
      <c r="A71" s="234"/>
      <c r="B71" s="237"/>
      <c r="C71" s="240"/>
      <c r="D71" s="237"/>
      <c r="E71" s="13"/>
      <c r="F71" s="13"/>
      <c r="G71" s="13"/>
      <c r="H71" s="13"/>
      <c r="I71" s="13"/>
      <c r="J71" s="241"/>
      <c r="K71" s="250"/>
    </row>
  </sheetData>
  <mergeCells count="149">
    <mergeCell ref="A69:A71"/>
    <mergeCell ref="B69:B71"/>
    <mergeCell ref="C69:C71"/>
    <mergeCell ref="D69:D71"/>
    <mergeCell ref="J69:J71"/>
    <mergeCell ref="K69:K71"/>
    <mergeCell ref="A66:A68"/>
    <mergeCell ref="B66:B68"/>
    <mergeCell ref="C66:C68"/>
    <mergeCell ref="D66:D68"/>
    <mergeCell ref="J66:J68"/>
    <mergeCell ref="K66:K68"/>
    <mergeCell ref="A63:A65"/>
    <mergeCell ref="B63:B65"/>
    <mergeCell ref="C63:C65"/>
    <mergeCell ref="D63:D65"/>
    <mergeCell ref="J63:J65"/>
    <mergeCell ref="K63:K65"/>
    <mergeCell ref="A60:A62"/>
    <mergeCell ref="B60:B62"/>
    <mergeCell ref="C60:C62"/>
    <mergeCell ref="D60:D62"/>
    <mergeCell ref="J60:J62"/>
    <mergeCell ref="K60:K62"/>
    <mergeCell ref="A57:A59"/>
    <mergeCell ref="B57:B59"/>
    <mergeCell ref="C57:C59"/>
    <mergeCell ref="D57:D59"/>
    <mergeCell ref="J57:J59"/>
    <mergeCell ref="K57:K59"/>
    <mergeCell ref="A54:A56"/>
    <mergeCell ref="B54:B56"/>
    <mergeCell ref="C54:C56"/>
    <mergeCell ref="D54:D56"/>
    <mergeCell ref="J54:J56"/>
    <mergeCell ref="K54:K56"/>
    <mergeCell ref="A51:A53"/>
    <mergeCell ref="B51:B53"/>
    <mergeCell ref="C51:C53"/>
    <mergeCell ref="D51:D53"/>
    <mergeCell ref="J51:J53"/>
    <mergeCell ref="K51:K53"/>
    <mergeCell ref="A48:A50"/>
    <mergeCell ref="B48:B50"/>
    <mergeCell ref="C48:C50"/>
    <mergeCell ref="D48:D50"/>
    <mergeCell ref="J48:J50"/>
    <mergeCell ref="K48:K50"/>
    <mergeCell ref="A45:A47"/>
    <mergeCell ref="B45:B47"/>
    <mergeCell ref="C45:C47"/>
    <mergeCell ref="D45:D47"/>
    <mergeCell ref="J45:J47"/>
    <mergeCell ref="K45:K47"/>
    <mergeCell ref="A42:A44"/>
    <mergeCell ref="B42:B44"/>
    <mergeCell ref="C42:C44"/>
    <mergeCell ref="D42:D44"/>
    <mergeCell ref="J42:J44"/>
    <mergeCell ref="K42:K44"/>
    <mergeCell ref="A39:A41"/>
    <mergeCell ref="B39:B41"/>
    <mergeCell ref="C39:C41"/>
    <mergeCell ref="D39:D41"/>
    <mergeCell ref="J39:J41"/>
    <mergeCell ref="K39:K41"/>
    <mergeCell ref="A36:A38"/>
    <mergeCell ref="B36:B38"/>
    <mergeCell ref="C36:C38"/>
    <mergeCell ref="D36:D38"/>
    <mergeCell ref="J36:J38"/>
    <mergeCell ref="K36:K38"/>
    <mergeCell ref="A33:A35"/>
    <mergeCell ref="B33:B35"/>
    <mergeCell ref="C33:C35"/>
    <mergeCell ref="D33:D35"/>
    <mergeCell ref="J33:J35"/>
    <mergeCell ref="K33:K35"/>
    <mergeCell ref="N28:O28"/>
    <mergeCell ref="N29:O29"/>
    <mergeCell ref="A30:A32"/>
    <mergeCell ref="B30:B32"/>
    <mergeCell ref="C30:C32"/>
    <mergeCell ref="D30:D32"/>
    <mergeCell ref="J30:J32"/>
    <mergeCell ref="K30:K32"/>
    <mergeCell ref="N31:O31"/>
    <mergeCell ref="M24:O24"/>
    <mergeCell ref="N25:O25"/>
    <mergeCell ref="N26:O26"/>
    <mergeCell ref="A27:A29"/>
    <mergeCell ref="B27:B29"/>
    <mergeCell ref="C27:C29"/>
    <mergeCell ref="D27:D29"/>
    <mergeCell ref="J27:J29"/>
    <mergeCell ref="K27:K29"/>
    <mergeCell ref="N27:O27"/>
    <mergeCell ref="A24:A26"/>
    <mergeCell ref="B24:B26"/>
    <mergeCell ref="C24:C26"/>
    <mergeCell ref="D24:D26"/>
    <mergeCell ref="J24:J26"/>
    <mergeCell ref="K24:K26"/>
    <mergeCell ref="A21:A23"/>
    <mergeCell ref="B21:B23"/>
    <mergeCell ref="C21:C23"/>
    <mergeCell ref="D21:D23"/>
    <mergeCell ref="J21:J23"/>
    <mergeCell ref="K21:K23"/>
    <mergeCell ref="M16:O17"/>
    <mergeCell ref="A18:A20"/>
    <mergeCell ref="B18:B20"/>
    <mergeCell ref="C18:C20"/>
    <mergeCell ref="D18:D20"/>
    <mergeCell ref="J18:J20"/>
    <mergeCell ref="K18:K20"/>
    <mergeCell ref="M19:O20"/>
    <mergeCell ref="A15:A17"/>
    <mergeCell ref="B15:B17"/>
    <mergeCell ref="C15:C17"/>
    <mergeCell ref="D15:D17"/>
    <mergeCell ref="J15:J17"/>
    <mergeCell ref="K15:K17"/>
    <mergeCell ref="A12:A14"/>
    <mergeCell ref="B12:B14"/>
    <mergeCell ref="C12:C14"/>
    <mergeCell ref="D12:D14"/>
    <mergeCell ref="J12:J14"/>
    <mergeCell ref="K12:K14"/>
    <mergeCell ref="A9:A11"/>
    <mergeCell ref="B9:B11"/>
    <mergeCell ref="C9:C11"/>
    <mergeCell ref="D9:D11"/>
    <mergeCell ref="J9:J11"/>
    <mergeCell ref="K9:K11"/>
    <mergeCell ref="J3:J5"/>
    <mergeCell ref="K3:K5"/>
    <mergeCell ref="A6:A8"/>
    <mergeCell ref="B6:B8"/>
    <mergeCell ref="C6:C8"/>
    <mergeCell ref="D6:D8"/>
    <mergeCell ref="J6:J8"/>
    <mergeCell ref="K6:K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B54F-7748-AA48-B532-7A480F480560}">
  <sheetPr>
    <tabColor rgb="FFFFFF00"/>
    <pageSetUpPr fitToPage="1"/>
  </sheetPr>
  <dimension ref="A1:Q62"/>
  <sheetViews>
    <sheetView zoomScaleNormal="100" zoomScaleSheetLayoutView="120" workbookViewId="0">
      <selection activeCell="M60" sqref="M60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10" width="12.109375" style="3" customWidth="1"/>
    <col min="11" max="11" width="20.44140625" customWidth="1"/>
    <col min="12" max="12" width="4.33203125" customWidth="1"/>
    <col min="13" max="13" width="12.33203125" customWidth="1"/>
    <col min="14" max="14" width="12.5546875" customWidth="1"/>
    <col min="15" max="15" width="27.6640625" customWidth="1"/>
    <col min="16" max="16" width="9" customWidth="1"/>
    <col min="17" max="17" width="21.33203125" customWidth="1"/>
  </cols>
  <sheetData>
    <row r="1" spans="1:17" ht="35.1" customHeight="1" thickBot="1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30" t="s">
        <v>1</v>
      </c>
      <c r="K1" s="31" t="s">
        <v>2</v>
      </c>
      <c r="O1" s="5"/>
      <c r="P1" s="5"/>
      <c r="Q1" s="5"/>
    </row>
    <row r="2" spans="1:17" s="4" customFormat="1" ht="29.25" thickBot="1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 s="10" t="s">
        <v>11</v>
      </c>
      <c r="L2"/>
    </row>
    <row r="3" spans="1:17" s="4" customFormat="1" ht="18" customHeight="1">
      <c r="A3" s="198">
        <v>1</v>
      </c>
      <c r="B3" s="200">
        <v>46237</v>
      </c>
      <c r="C3" s="202" t="s">
        <v>12</v>
      </c>
      <c r="D3" s="204">
        <f>B3+4</f>
        <v>46241</v>
      </c>
      <c r="E3" s="11"/>
      <c r="F3" s="11"/>
      <c r="G3" s="11"/>
      <c r="H3" s="11"/>
      <c r="I3" s="11"/>
      <c r="J3" s="206"/>
      <c r="K3" s="184"/>
      <c r="L3" s="9"/>
      <c r="M3" s="12" t="s">
        <v>13</v>
      </c>
      <c r="N3" s="12" t="s">
        <v>14</v>
      </c>
      <c r="O3" s="15"/>
    </row>
    <row r="4" spans="1:17" s="4" customFormat="1" ht="18" customHeight="1">
      <c r="A4" s="199"/>
      <c r="B4" s="201"/>
      <c r="C4" s="203"/>
      <c r="D4" s="205"/>
      <c r="E4" s="12"/>
      <c r="F4" s="12"/>
      <c r="G4" s="12"/>
      <c r="H4" s="12"/>
      <c r="I4" s="12"/>
      <c r="J4" s="207"/>
      <c r="K4" s="185"/>
      <c r="L4" s="9"/>
      <c r="M4" s="12" t="s">
        <v>15</v>
      </c>
      <c r="N4" s="12" t="s">
        <v>16</v>
      </c>
      <c r="O4" s="15"/>
    </row>
    <row r="5" spans="1:17" s="4" customFormat="1" ht="18" customHeight="1" thickBot="1">
      <c r="A5" s="199"/>
      <c r="B5" s="201"/>
      <c r="C5" s="203"/>
      <c r="D5" s="205"/>
      <c r="E5" s="14"/>
      <c r="F5" s="12"/>
      <c r="G5" s="12"/>
      <c r="H5" s="12"/>
      <c r="I5" s="12"/>
      <c r="J5" s="207"/>
      <c r="K5" s="185"/>
      <c r="L5" s="9"/>
      <c r="M5" s="12" t="s">
        <v>17</v>
      </c>
      <c r="N5" s="12" t="s">
        <v>18</v>
      </c>
      <c r="O5" s="15"/>
    </row>
    <row r="6" spans="1:17" s="4" customFormat="1" ht="18" customHeight="1">
      <c r="A6" s="208">
        <f>A3+1</f>
        <v>2</v>
      </c>
      <c r="B6" s="210">
        <f>D3+3</f>
        <v>46244</v>
      </c>
      <c r="C6" s="202" t="s">
        <v>12</v>
      </c>
      <c r="D6" s="204">
        <f t="shared" ref="D6:D60" si="0">B6+4</f>
        <v>46248</v>
      </c>
      <c r="E6" s="11"/>
      <c r="F6" s="11"/>
      <c r="G6" s="11"/>
      <c r="H6" s="11"/>
      <c r="I6" s="11"/>
      <c r="J6" s="206"/>
      <c r="K6" s="184"/>
      <c r="L6" s="1"/>
      <c r="M6" s="15"/>
      <c r="N6" s="15"/>
      <c r="O6" s="15"/>
    </row>
    <row r="7" spans="1:17" s="4" customFormat="1" ht="18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85"/>
      <c r="L7" s="1"/>
      <c r="M7" s="15"/>
      <c r="N7" s="15"/>
      <c r="O7" s="15"/>
    </row>
    <row r="8" spans="1:17" s="4" customFormat="1" ht="18" customHeight="1" thickBo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85"/>
      <c r="L8" s="1"/>
      <c r="M8" s="33" t="s">
        <v>19</v>
      </c>
      <c r="N8" s="33" t="s">
        <v>20</v>
      </c>
      <c r="O8" s="15"/>
    </row>
    <row r="9" spans="1:17" s="4" customFormat="1" ht="18" customHeight="1">
      <c r="A9" s="208">
        <f>A6+1</f>
        <v>3</v>
      </c>
      <c r="B9" s="210">
        <f>D6+3</f>
        <v>46251</v>
      </c>
      <c r="C9" s="202" t="s">
        <v>12</v>
      </c>
      <c r="D9" s="204">
        <f t="shared" si="0"/>
        <v>46255</v>
      </c>
      <c r="E9" s="11"/>
      <c r="F9" s="11"/>
      <c r="G9" s="11"/>
      <c r="H9" s="11"/>
      <c r="I9" s="11"/>
      <c r="J9" s="206"/>
      <c r="K9" s="184"/>
      <c r="M9" s="16" t="s">
        <v>22</v>
      </c>
      <c r="N9" s="16" t="s">
        <v>23</v>
      </c>
      <c r="O9" s="15"/>
    </row>
    <row r="10" spans="1:17" s="4" customFormat="1" ht="18" customHeight="1">
      <c r="A10" s="209"/>
      <c r="B10" s="211"/>
      <c r="C10" s="203"/>
      <c r="D10" s="205"/>
      <c r="E10" s="12"/>
      <c r="F10" s="12"/>
      <c r="G10" s="12"/>
      <c r="H10" s="12"/>
      <c r="I10" s="12"/>
      <c r="J10" s="207"/>
      <c r="K10" s="185"/>
      <c r="M10" s="16" t="s">
        <v>24</v>
      </c>
      <c r="N10" s="16" t="s">
        <v>25</v>
      </c>
      <c r="O10" s="15"/>
    </row>
    <row r="11" spans="1:17" s="4" customFormat="1" ht="18" customHeight="1" thickBot="1">
      <c r="A11" s="209"/>
      <c r="B11" s="211"/>
      <c r="C11" s="203"/>
      <c r="D11" s="205"/>
      <c r="E11" s="12"/>
      <c r="F11" s="12"/>
      <c r="G11" s="12"/>
      <c r="H11" s="12"/>
      <c r="I11" s="12"/>
      <c r="J11" s="207"/>
      <c r="K11" s="185"/>
      <c r="M11" s="16" t="s">
        <v>26</v>
      </c>
      <c r="N11" s="16" t="s">
        <v>27</v>
      </c>
      <c r="O11" s="15"/>
    </row>
    <row r="12" spans="1:17" s="4" customFormat="1" ht="18" customHeight="1">
      <c r="A12" s="208">
        <f>A9+1</f>
        <v>4</v>
      </c>
      <c r="B12" s="210">
        <f>D9+3</f>
        <v>46258</v>
      </c>
      <c r="C12" s="202" t="s">
        <v>12</v>
      </c>
      <c r="D12" s="204">
        <f t="shared" si="0"/>
        <v>46262</v>
      </c>
      <c r="E12" s="11"/>
      <c r="F12" s="11"/>
      <c r="G12" s="11"/>
      <c r="H12" s="11"/>
      <c r="I12" s="11"/>
      <c r="J12" s="206"/>
      <c r="K12" s="184"/>
      <c r="M12" s="15"/>
      <c r="N12" s="15"/>
      <c r="O12" s="15"/>
      <c r="P12" s="7"/>
    </row>
    <row r="13" spans="1:17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K13" s="185"/>
      <c r="M13" s="15"/>
      <c r="N13" s="15"/>
      <c r="O13" s="15"/>
      <c r="P13" s="7"/>
    </row>
    <row r="14" spans="1:17" s="4" customFormat="1" ht="18" customHeight="1" thickBo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K14" s="185"/>
      <c r="M14" s="15"/>
      <c r="N14" s="15"/>
      <c r="O14" s="15"/>
      <c r="P14" s="7"/>
    </row>
    <row r="15" spans="1:17" s="4" customFormat="1" ht="18" customHeight="1">
      <c r="A15" s="208">
        <f>A12+1</f>
        <v>5</v>
      </c>
      <c r="B15" s="210">
        <f>D12+3</f>
        <v>46265</v>
      </c>
      <c r="C15" s="202" t="s">
        <v>12</v>
      </c>
      <c r="D15" s="204">
        <f t="shared" si="0"/>
        <v>46269</v>
      </c>
      <c r="E15" s="11"/>
      <c r="F15" s="11"/>
      <c r="G15" s="11"/>
      <c r="H15" s="11"/>
      <c r="I15" s="11"/>
      <c r="J15" s="206"/>
      <c r="K15" s="184"/>
      <c r="M15" s="17" t="s">
        <v>15</v>
      </c>
      <c r="N15" s="15"/>
      <c r="O15" s="15"/>
    </row>
    <row r="16" spans="1:17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K16" s="185"/>
      <c r="M16" s="245" t="s">
        <v>28</v>
      </c>
      <c r="N16" s="245"/>
      <c r="O16" s="245"/>
      <c r="Q16" s="8"/>
    </row>
    <row r="17" spans="1:15" s="4" customFormat="1" ht="18" customHeight="1" thickBo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K17" s="185"/>
      <c r="M17" s="245"/>
      <c r="N17" s="245"/>
      <c r="O17" s="245"/>
    </row>
    <row r="18" spans="1:15" s="4" customFormat="1" ht="18" customHeight="1">
      <c r="A18" s="208">
        <f>A15+1</f>
        <v>6</v>
      </c>
      <c r="B18" s="210">
        <f>D15+3</f>
        <v>46272</v>
      </c>
      <c r="C18" s="202" t="s">
        <v>12</v>
      </c>
      <c r="D18" s="204">
        <f>B18+4</f>
        <v>46276</v>
      </c>
      <c r="E18" s="36"/>
      <c r="F18" s="11"/>
      <c r="G18" s="11"/>
      <c r="H18" s="11"/>
      <c r="I18" s="11"/>
      <c r="J18" s="206"/>
      <c r="K18" s="184" t="s">
        <v>41</v>
      </c>
      <c r="M18" s="17" t="s">
        <v>29</v>
      </c>
      <c r="N18" s="15"/>
      <c r="O18" s="15"/>
    </row>
    <row r="19" spans="1:15" s="4" customFormat="1" ht="18" customHeight="1">
      <c r="A19" s="209"/>
      <c r="B19" s="211"/>
      <c r="C19" s="203"/>
      <c r="D19" s="205"/>
      <c r="E19" s="37"/>
      <c r="F19" s="12"/>
      <c r="G19" s="12"/>
      <c r="H19" s="12"/>
      <c r="I19" s="12"/>
      <c r="J19" s="207"/>
      <c r="K19" s="185"/>
      <c r="M19" s="245" t="s">
        <v>30</v>
      </c>
      <c r="N19" s="245"/>
      <c r="O19" s="245"/>
    </row>
    <row r="20" spans="1:15" s="4" customFormat="1" ht="18" customHeight="1" thickBot="1">
      <c r="A20" s="209"/>
      <c r="B20" s="211"/>
      <c r="C20" s="203"/>
      <c r="D20" s="205"/>
      <c r="E20" s="37"/>
      <c r="F20" s="12"/>
      <c r="G20" s="12"/>
      <c r="H20" s="12"/>
      <c r="I20" s="12"/>
      <c r="J20" s="207"/>
      <c r="K20" s="185"/>
      <c r="M20" s="245"/>
      <c r="N20" s="245"/>
      <c r="O20" s="245"/>
    </row>
    <row r="21" spans="1:15" s="4" customFormat="1" ht="18" customHeight="1">
      <c r="A21" s="208">
        <f>A18+1</f>
        <v>7</v>
      </c>
      <c r="B21" s="210">
        <f>D18+3</f>
        <v>46279</v>
      </c>
      <c r="C21" s="202" t="s">
        <v>12</v>
      </c>
      <c r="D21" s="204">
        <f t="shared" si="0"/>
        <v>46283</v>
      </c>
      <c r="E21" s="11"/>
      <c r="F21" s="11"/>
      <c r="G21" s="11"/>
      <c r="H21" s="11"/>
      <c r="I21" s="11"/>
      <c r="J21" s="206"/>
      <c r="K21" s="184"/>
      <c r="M21" s="15"/>
      <c r="N21" s="15"/>
      <c r="O21" s="15"/>
    </row>
    <row r="22" spans="1:15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07"/>
      <c r="K22" s="185"/>
      <c r="M22" s="18"/>
      <c r="N22" s="18"/>
      <c r="O22" s="18"/>
    </row>
    <row r="23" spans="1:15" s="4" customFormat="1" ht="18" customHeight="1" thickBot="1">
      <c r="A23" s="209"/>
      <c r="B23" s="211"/>
      <c r="C23" s="203"/>
      <c r="D23" s="205"/>
      <c r="E23" s="12"/>
      <c r="F23" s="12"/>
      <c r="G23" s="12"/>
      <c r="H23" s="12"/>
      <c r="I23" s="12"/>
      <c r="J23" s="207"/>
      <c r="K23" s="185"/>
      <c r="L23" s="6"/>
      <c r="M23" s="19"/>
      <c r="N23" s="19"/>
      <c r="O23" s="15"/>
    </row>
    <row r="24" spans="1:15" s="4" customFormat="1" ht="18" customHeight="1" thickBot="1">
      <c r="A24" s="208">
        <f>A21+1</f>
        <v>8</v>
      </c>
      <c r="B24" s="210">
        <f>D21+3</f>
        <v>46286</v>
      </c>
      <c r="C24" s="202" t="s">
        <v>12</v>
      </c>
      <c r="D24" s="204">
        <f t="shared" si="0"/>
        <v>46290</v>
      </c>
      <c r="E24" s="11"/>
      <c r="F24" s="11"/>
      <c r="G24" s="11"/>
      <c r="H24" s="11"/>
      <c r="I24" s="11"/>
      <c r="J24" s="206"/>
      <c r="K24" s="184"/>
      <c r="M24" s="171" t="s">
        <v>31</v>
      </c>
      <c r="N24" s="172"/>
      <c r="O24" s="173"/>
    </row>
    <row r="25" spans="1:15" s="4" customFormat="1" ht="18" customHeight="1">
      <c r="A25" s="209"/>
      <c r="B25" s="211"/>
      <c r="C25" s="203"/>
      <c r="D25" s="205"/>
      <c r="E25" s="12"/>
      <c r="F25" s="12"/>
      <c r="G25" s="12"/>
      <c r="H25" s="12"/>
      <c r="I25" s="12"/>
      <c r="J25" s="207"/>
      <c r="K25" s="185"/>
      <c r="M25" s="20"/>
      <c r="N25" s="174" t="s">
        <v>32</v>
      </c>
      <c r="O25" s="175"/>
    </row>
    <row r="26" spans="1:15" s="4" customFormat="1" ht="18" customHeight="1" thickBot="1">
      <c r="A26" s="209"/>
      <c r="B26" s="211"/>
      <c r="C26" s="203"/>
      <c r="D26" s="205"/>
      <c r="E26" s="12"/>
      <c r="F26" s="12"/>
      <c r="G26" s="12"/>
      <c r="H26" s="12"/>
      <c r="I26" s="12"/>
      <c r="J26" s="207"/>
      <c r="K26" s="185"/>
      <c r="M26" s="21"/>
      <c r="N26" s="176" t="s">
        <v>33</v>
      </c>
      <c r="O26" s="177"/>
    </row>
    <row r="27" spans="1:15" s="4" customFormat="1" ht="18" customHeight="1">
      <c r="A27" s="208">
        <f>A24+1</f>
        <v>9</v>
      </c>
      <c r="B27" s="210">
        <f>D24+3</f>
        <v>46293</v>
      </c>
      <c r="C27" s="202" t="s">
        <v>12</v>
      </c>
      <c r="D27" s="204">
        <f>B27+4</f>
        <v>46297</v>
      </c>
      <c r="E27" s="11"/>
      <c r="F27" s="11"/>
      <c r="G27" s="11"/>
      <c r="H27" s="11"/>
      <c r="I27" s="11"/>
      <c r="J27" s="206"/>
      <c r="K27" s="184"/>
      <c r="M27" s="22"/>
      <c r="N27" s="176" t="s">
        <v>35</v>
      </c>
      <c r="O27" s="177"/>
    </row>
    <row r="28" spans="1:15" s="4" customFormat="1" ht="18" customHeight="1">
      <c r="A28" s="209"/>
      <c r="B28" s="211"/>
      <c r="C28" s="203"/>
      <c r="D28" s="205"/>
      <c r="E28" s="12"/>
      <c r="F28" s="12"/>
      <c r="G28" s="12"/>
      <c r="H28" s="12"/>
      <c r="I28" s="12"/>
      <c r="J28" s="207"/>
      <c r="K28" s="185"/>
      <c r="M28" s="23"/>
      <c r="N28" s="178" t="s">
        <v>36</v>
      </c>
      <c r="O28" s="179"/>
    </row>
    <row r="29" spans="1:15" s="4" customFormat="1" ht="18" customHeight="1" thickBot="1">
      <c r="A29" s="209"/>
      <c r="B29" s="211"/>
      <c r="C29" s="203"/>
      <c r="D29" s="205"/>
      <c r="E29" s="12"/>
      <c r="F29" s="12"/>
      <c r="G29" s="12"/>
      <c r="H29" s="12"/>
      <c r="I29" s="12"/>
      <c r="J29" s="207"/>
      <c r="K29" s="185"/>
      <c r="M29" s="24"/>
      <c r="N29" s="180" t="s">
        <v>37</v>
      </c>
      <c r="O29" s="181"/>
    </row>
    <row r="30" spans="1:15" s="4" customFormat="1" ht="18" customHeight="1">
      <c r="A30" s="208">
        <f>A27+1</f>
        <v>10</v>
      </c>
      <c r="B30" s="210">
        <f>D27+3</f>
        <v>46300</v>
      </c>
      <c r="C30" s="202" t="s">
        <v>12</v>
      </c>
      <c r="D30" s="204">
        <f t="shared" si="0"/>
        <v>46304</v>
      </c>
      <c r="E30" s="11"/>
      <c r="F30" s="11"/>
      <c r="G30" s="11"/>
      <c r="H30" s="11"/>
      <c r="I30" s="11"/>
      <c r="J30" s="206"/>
      <c r="K30" s="184"/>
      <c r="M30" s="22"/>
      <c r="N30" s="25" t="s">
        <v>38</v>
      </c>
      <c r="O30" s="26"/>
    </row>
    <row r="31" spans="1:15" s="4" customFormat="1" ht="18" customHeight="1" thickBot="1">
      <c r="A31" s="209"/>
      <c r="B31" s="211"/>
      <c r="C31" s="203"/>
      <c r="D31" s="205"/>
      <c r="E31" s="12"/>
      <c r="F31" s="12"/>
      <c r="G31" s="12"/>
      <c r="H31" s="12"/>
      <c r="I31" s="12"/>
      <c r="J31" s="207"/>
      <c r="K31" s="185"/>
      <c r="M31" s="27"/>
      <c r="N31" s="182" t="s">
        <v>39</v>
      </c>
      <c r="O31" s="183"/>
    </row>
    <row r="32" spans="1:15" s="4" customFormat="1" ht="18" customHeight="1" thickBot="1">
      <c r="A32" s="209"/>
      <c r="B32" s="211"/>
      <c r="C32" s="203"/>
      <c r="D32" s="205"/>
      <c r="E32" s="12"/>
      <c r="F32" s="12"/>
      <c r="G32" s="12"/>
      <c r="H32" s="12"/>
      <c r="I32" s="12"/>
      <c r="J32" s="207"/>
      <c r="K32" s="185"/>
      <c r="M32" s="28"/>
      <c r="N32" s="15"/>
      <c r="O32" s="15"/>
    </row>
    <row r="33" spans="1:15" s="4" customFormat="1" ht="18" customHeight="1">
      <c r="A33" s="212">
        <f>A30+1</f>
        <v>11</v>
      </c>
      <c r="B33" s="214">
        <f>D30+3</f>
        <v>46307</v>
      </c>
      <c r="C33" s="217" t="s">
        <v>12</v>
      </c>
      <c r="D33" s="214">
        <f t="shared" si="0"/>
        <v>46311</v>
      </c>
      <c r="E33" s="36"/>
      <c r="F33" s="36"/>
      <c r="G33" s="36"/>
      <c r="H33" s="36"/>
      <c r="I33" s="36"/>
      <c r="J33" s="206"/>
      <c r="K33" s="184" t="s">
        <v>42</v>
      </c>
      <c r="M33" s="17"/>
      <c r="N33" s="15"/>
      <c r="O33" s="29"/>
    </row>
    <row r="34" spans="1:15" s="4" customFormat="1" ht="18" customHeight="1">
      <c r="A34" s="213"/>
      <c r="B34" s="215"/>
      <c r="C34" s="218"/>
      <c r="D34" s="215"/>
      <c r="E34" s="37"/>
      <c r="F34" s="37"/>
      <c r="G34" s="37"/>
      <c r="H34" s="37"/>
      <c r="I34" s="37"/>
      <c r="J34" s="207"/>
      <c r="K34" s="185"/>
      <c r="M34" s="32"/>
      <c r="N34" s="32"/>
      <c r="O34" s="32"/>
    </row>
    <row r="35" spans="1:15" s="4" customFormat="1" ht="18" customHeight="1" thickBot="1">
      <c r="A35" s="213"/>
      <c r="B35" s="216"/>
      <c r="C35" s="218"/>
      <c r="D35" s="216"/>
      <c r="E35" s="37"/>
      <c r="F35" s="37"/>
      <c r="G35" s="37"/>
      <c r="H35" s="37"/>
      <c r="I35" s="37"/>
      <c r="J35" s="207"/>
      <c r="K35" s="185"/>
      <c r="M35" s="15"/>
      <c r="N35" s="15"/>
      <c r="O35" s="15"/>
    </row>
    <row r="36" spans="1:15" s="4" customFormat="1" ht="18" customHeight="1">
      <c r="A36" s="208">
        <f>A33+1</f>
        <v>12</v>
      </c>
      <c r="B36" s="210">
        <f>D33+3</f>
        <v>46314</v>
      </c>
      <c r="C36" s="202" t="s">
        <v>12</v>
      </c>
      <c r="D36" s="204">
        <f>B36+4</f>
        <v>46318</v>
      </c>
      <c r="E36" s="11"/>
      <c r="F36" s="11"/>
      <c r="G36" s="11"/>
      <c r="H36" s="11"/>
      <c r="I36" s="11"/>
      <c r="J36" s="206"/>
      <c r="K36" s="184"/>
    </row>
    <row r="37" spans="1:15" s="4" customFormat="1" ht="18" customHeight="1">
      <c r="A37" s="209"/>
      <c r="B37" s="211"/>
      <c r="C37" s="203"/>
      <c r="D37" s="205"/>
      <c r="E37" s="12"/>
      <c r="F37" s="12"/>
      <c r="G37" s="12"/>
      <c r="H37" s="12"/>
      <c r="I37" s="12"/>
      <c r="J37" s="207"/>
      <c r="K37" s="185"/>
    </row>
    <row r="38" spans="1:15" s="4" customFormat="1" ht="18" customHeight="1" thickBot="1">
      <c r="A38" s="209"/>
      <c r="B38" s="211"/>
      <c r="C38" s="203"/>
      <c r="D38" s="205"/>
      <c r="E38" s="12"/>
      <c r="F38" s="12"/>
      <c r="G38" s="12"/>
      <c r="H38" s="12"/>
      <c r="I38" s="12"/>
      <c r="J38" s="207"/>
      <c r="K38" s="185"/>
    </row>
    <row r="39" spans="1:15" s="4" customFormat="1" ht="18" customHeight="1">
      <c r="A39" s="208">
        <f>A36+1</f>
        <v>13</v>
      </c>
      <c r="B39" s="210">
        <f>D36+3</f>
        <v>46321</v>
      </c>
      <c r="C39" s="202" t="s">
        <v>12</v>
      </c>
      <c r="D39" s="204">
        <f t="shared" si="0"/>
        <v>46325</v>
      </c>
      <c r="E39" s="11"/>
      <c r="F39" s="11"/>
      <c r="G39" s="11"/>
      <c r="H39" s="11"/>
      <c r="I39" s="11"/>
      <c r="J39" s="206"/>
      <c r="K39" s="184"/>
    </row>
    <row r="40" spans="1:15" s="4" customFormat="1" ht="18" customHeight="1">
      <c r="A40" s="209"/>
      <c r="B40" s="211"/>
      <c r="C40" s="203"/>
      <c r="D40" s="205"/>
      <c r="E40" s="12"/>
      <c r="F40" s="12"/>
      <c r="G40" s="12"/>
      <c r="H40" s="12"/>
      <c r="I40" s="12"/>
      <c r="J40" s="207"/>
      <c r="K40" s="185"/>
    </row>
    <row r="41" spans="1:15" s="4" customFormat="1" ht="18" customHeight="1" thickBot="1">
      <c r="A41" s="209"/>
      <c r="B41" s="211"/>
      <c r="C41" s="203"/>
      <c r="D41" s="205"/>
      <c r="E41" s="12"/>
      <c r="F41" s="12"/>
      <c r="G41" s="12"/>
      <c r="H41" s="12"/>
      <c r="I41" s="12"/>
      <c r="J41" s="207"/>
      <c r="K41" s="185"/>
    </row>
    <row r="42" spans="1:15" s="4" customFormat="1" ht="18" customHeight="1">
      <c r="A42" s="208">
        <f>A39+1</f>
        <v>14</v>
      </c>
      <c r="B42" s="210">
        <f>D39+3</f>
        <v>46328</v>
      </c>
      <c r="C42" s="202" t="s">
        <v>12</v>
      </c>
      <c r="D42" s="204">
        <f t="shared" si="0"/>
        <v>46332</v>
      </c>
      <c r="E42" s="36"/>
      <c r="F42" s="11"/>
      <c r="G42" s="11"/>
      <c r="H42" s="11"/>
      <c r="I42" s="11"/>
      <c r="J42" s="229"/>
      <c r="K42" s="184" t="s">
        <v>41</v>
      </c>
    </row>
    <row r="43" spans="1:15" s="4" customFormat="1" ht="18" customHeight="1">
      <c r="A43" s="209"/>
      <c r="B43" s="211"/>
      <c r="C43" s="203"/>
      <c r="D43" s="205"/>
      <c r="E43" s="37"/>
      <c r="F43" s="12"/>
      <c r="G43" s="12"/>
      <c r="H43" s="12"/>
      <c r="I43" s="12"/>
      <c r="J43" s="226"/>
      <c r="K43" s="185"/>
    </row>
    <row r="44" spans="1:15" s="4" customFormat="1" ht="18" customHeight="1" thickBot="1">
      <c r="A44" s="209"/>
      <c r="B44" s="211"/>
      <c r="C44" s="203"/>
      <c r="D44" s="205"/>
      <c r="E44" s="37"/>
      <c r="F44" s="12"/>
      <c r="G44" s="12"/>
      <c r="H44" s="12"/>
      <c r="I44" s="12"/>
      <c r="J44" s="226"/>
      <c r="K44" s="185"/>
    </row>
    <row r="45" spans="1:15" s="4" customFormat="1" ht="18" customHeight="1">
      <c r="A45" s="208">
        <f>A42+1</f>
        <v>15</v>
      </c>
      <c r="B45" s="210">
        <f>D42+3</f>
        <v>46335</v>
      </c>
      <c r="C45" s="219" t="s">
        <v>12</v>
      </c>
      <c r="D45" s="204">
        <f>B45+4</f>
        <v>46339</v>
      </c>
      <c r="E45" s="11"/>
      <c r="F45" s="11"/>
      <c r="G45" s="11"/>
      <c r="H45" s="11"/>
      <c r="I45" s="11"/>
      <c r="J45" s="221"/>
      <c r="K45" s="184"/>
    </row>
    <row r="46" spans="1:15" s="4" customFormat="1" ht="18" customHeight="1">
      <c r="A46" s="209"/>
      <c r="B46" s="211"/>
      <c r="C46" s="220"/>
      <c r="D46" s="205"/>
      <c r="E46" s="12"/>
      <c r="F46" s="12"/>
      <c r="G46" s="12"/>
      <c r="H46" s="12"/>
      <c r="I46" s="12"/>
      <c r="J46" s="222"/>
      <c r="K46" s="185"/>
    </row>
    <row r="47" spans="1:15" s="4" customFormat="1" ht="18" customHeight="1" thickBot="1">
      <c r="A47" s="209"/>
      <c r="B47" s="211"/>
      <c r="C47" s="220"/>
      <c r="D47" s="205"/>
      <c r="E47" s="12"/>
      <c r="F47" s="12"/>
      <c r="G47" s="12"/>
      <c r="H47" s="12"/>
      <c r="I47" s="12"/>
      <c r="J47" s="222"/>
      <c r="K47" s="185"/>
    </row>
    <row r="48" spans="1:15" s="4" customFormat="1" ht="18" customHeight="1">
      <c r="A48" s="208">
        <f>A45+1</f>
        <v>16</v>
      </c>
      <c r="B48" s="210">
        <f>D45+3</f>
        <v>46342</v>
      </c>
      <c r="C48" s="219" t="s">
        <v>12</v>
      </c>
      <c r="D48" s="204">
        <f t="shared" si="0"/>
        <v>46346</v>
      </c>
      <c r="E48" s="11"/>
      <c r="F48" s="11"/>
      <c r="G48" s="11"/>
      <c r="H48" s="11"/>
      <c r="I48" s="36"/>
      <c r="J48" s="246"/>
      <c r="K48" s="184" t="s">
        <v>41</v>
      </c>
    </row>
    <row r="49" spans="1:11" s="4" customFormat="1" ht="18" customHeight="1">
      <c r="A49" s="209"/>
      <c r="B49" s="211"/>
      <c r="C49" s="220"/>
      <c r="D49" s="205"/>
      <c r="E49" s="12"/>
      <c r="F49" s="12"/>
      <c r="G49" s="12"/>
      <c r="H49" s="12"/>
      <c r="I49" s="37"/>
      <c r="J49" s="247"/>
      <c r="K49" s="185"/>
    </row>
    <row r="50" spans="1:11" s="4" customFormat="1" ht="18" customHeight="1" thickBot="1">
      <c r="A50" s="209"/>
      <c r="B50" s="211"/>
      <c r="C50" s="220"/>
      <c r="D50" s="205"/>
      <c r="E50" s="12"/>
      <c r="F50" s="12"/>
      <c r="G50" s="12"/>
      <c r="H50" s="12"/>
      <c r="I50" s="37"/>
      <c r="J50" s="247"/>
      <c r="K50" s="185"/>
    </row>
    <row r="51" spans="1:11" s="4" customFormat="1" ht="18" customHeight="1">
      <c r="A51" s="208">
        <f>A48+1</f>
        <v>17</v>
      </c>
      <c r="B51" s="210">
        <f>D48+3</f>
        <v>46349</v>
      </c>
      <c r="C51" s="219" t="s">
        <v>12</v>
      </c>
      <c r="D51" s="204">
        <f>B51+4</f>
        <v>46353</v>
      </c>
      <c r="E51" s="11"/>
      <c r="F51" s="11"/>
      <c r="G51" s="11"/>
      <c r="H51" s="11"/>
      <c r="I51" s="11"/>
      <c r="J51" s="229"/>
      <c r="K51" s="184"/>
    </row>
    <row r="52" spans="1:11" s="4" customFormat="1" ht="18" customHeight="1">
      <c r="A52" s="209"/>
      <c r="B52" s="211"/>
      <c r="C52" s="220"/>
      <c r="D52" s="205"/>
      <c r="E52" s="12"/>
      <c r="F52" s="12"/>
      <c r="G52" s="12"/>
      <c r="H52" s="12"/>
      <c r="I52" s="12"/>
      <c r="J52" s="226"/>
      <c r="K52" s="185"/>
    </row>
    <row r="53" spans="1:11" s="4" customFormat="1" ht="18" customHeight="1" thickBot="1">
      <c r="A53" s="209"/>
      <c r="B53" s="211"/>
      <c r="C53" s="220"/>
      <c r="D53" s="205"/>
      <c r="E53" s="12"/>
      <c r="F53" s="12"/>
      <c r="G53" s="12"/>
      <c r="H53" s="12"/>
      <c r="I53" s="12"/>
      <c r="J53" s="226"/>
      <c r="K53" s="185"/>
    </row>
    <row r="54" spans="1:11" s="4" customFormat="1" ht="18" customHeight="1">
      <c r="A54" s="208">
        <f>A51+1</f>
        <v>18</v>
      </c>
      <c r="B54" s="210">
        <f>D51+3</f>
        <v>46356</v>
      </c>
      <c r="C54" s="219" t="s">
        <v>12</v>
      </c>
      <c r="D54" s="204">
        <f>B54+4</f>
        <v>46360</v>
      </c>
      <c r="E54" s="11"/>
      <c r="F54" s="11"/>
      <c r="G54" s="11"/>
      <c r="H54" s="11"/>
      <c r="I54" s="11"/>
      <c r="J54" s="206"/>
      <c r="K54" s="184"/>
    </row>
    <row r="55" spans="1:11" s="4" customFormat="1" ht="18" customHeight="1">
      <c r="A55" s="209"/>
      <c r="B55" s="211"/>
      <c r="C55" s="220"/>
      <c r="D55" s="205"/>
      <c r="E55" s="12"/>
      <c r="F55" s="12"/>
      <c r="G55" s="12"/>
      <c r="H55" s="12"/>
      <c r="I55" s="12"/>
      <c r="J55" s="207"/>
      <c r="K55" s="185"/>
    </row>
    <row r="56" spans="1:11" s="4" customFormat="1" ht="18" customHeight="1" thickBot="1">
      <c r="A56" s="209"/>
      <c r="B56" s="211"/>
      <c r="C56" s="220"/>
      <c r="D56" s="205"/>
      <c r="E56" s="12"/>
      <c r="F56" s="12"/>
      <c r="G56" s="12"/>
      <c r="H56" s="12"/>
      <c r="I56" s="12"/>
      <c r="J56" s="207"/>
      <c r="K56" s="185"/>
    </row>
    <row r="57" spans="1:11" s="4" customFormat="1" ht="18" customHeight="1">
      <c r="A57" s="208">
        <f>A54+1</f>
        <v>19</v>
      </c>
      <c r="B57" s="210">
        <f>D54+3</f>
        <v>46363</v>
      </c>
      <c r="C57" s="219" t="s">
        <v>12</v>
      </c>
      <c r="D57" s="204">
        <f>B57+4</f>
        <v>46367</v>
      </c>
      <c r="E57" s="11"/>
      <c r="F57" s="11"/>
      <c r="G57" s="11"/>
      <c r="H57" s="11"/>
      <c r="I57" s="11"/>
      <c r="J57" s="206"/>
      <c r="K57" s="184"/>
    </row>
    <row r="58" spans="1:11" s="4" customFormat="1" ht="18" customHeight="1">
      <c r="A58" s="209"/>
      <c r="B58" s="211"/>
      <c r="C58" s="220"/>
      <c r="D58" s="205"/>
      <c r="E58" s="12"/>
      <c r="F58" s="12"/>
      <c r="G58" s="12"/>
      <c r="H58" s="12"/>
      <c r="I58" s="12"/>
      <c r="J58" s="207"/>
      <c r="K58" s="185"/>
    </row>
    <row r="59" spans="1:11" s="4" customFormat="1" ht="18" customHeight="1" thickBot="1">
      <c r="A59" s="209"/>
      <c r="B59" s="211"/>
      <c r="C59" s="220"/>
      <c r="D59" s="205"/>
      <c r="E59" s="12"/>
      <c r="F59" s="12"/>
      <c r="G59" s="12"/>
      <c r="H59" s="12"/>
      <c r="I59" s="12"/>
      <c r="J59" s="207"/>
      <c r="K59" s="185"/>
    </row>
    <row r="60" spans="1:11" s="4" customFormat="1" ht="18" customHeight="1">
      <c r="A60" s="208">
        <f>A57+1</f>
        <v>20</v>
      </c>
      <c r="B60" s="210">
        <f>D57+3</f>
        <v>46370</v>
      </c>
      <c r="C60" s="219" t="s">
        <v>12</v>
      </c>
      <c r="D60" s="204">
        <f t="shared" si="0"/>
        <v>46374</v>
      </c>
      <c r="E60" s="11"/>
      <c r="F60" s="11"/>
      <c r="G60" s="11"/>
      <c r="H60" s="36"/>
      <c r="I60" s="36"/>
      <c r="J60" s="206"/>
      <c r="K60" s="184"/>
    </row>
    <row r="61" spans="1:11" s="4" customFormat="1" ht="18" customHeight="1">
      <c r="A61" s="209"/>
      <c r="B61" s="211"/>
      <c r="C61" s="220"/>
      <c r="D61" s="205"/>
      <c r="E61" s="12"/>
      <c r="F61" s="12"/>
      <c r="G61" s="12"/>
      <c r="H61" s="37"/>
      <c r="I61" s="37"/>
      <c r="J61" s="207"/>
      <c r="K61" s="185"/>
    </row>
    <row r="62" spans="1:11" s="4" customFormat="1" ht="18" customHeight="1" thickBot="1">
      <c r="A62" s="251"/>
      <c r="B62" s="252"/>
      <c r="C62" s="253"/>
      <c r="D62" s="254"/>
      <c r="E62" s="13"/>
      <c r="F62" s="13"/>
      <c r="G62" s="13"/>
      <c r="H62" s="38"/>
      <c r="I62" s="38"/>
      <c r="J62" s="241"/>
      <c r="K62" s="186"/>
    </row>
  </sheetData>
  <mergeCells count="131">
    <mergeCell ref="A60:A62"/>
    <mergeCell ref="B60:B62"/>
    <mergeCell ref="C60:C62"/>
    <mergeCell ref="D60:D62"/>
    <mergeCell ref="J60:J62"/>
    <mergeCell ref="K60:K62"/>
    <mergeCell ref="A57:A59"/>
    <mergeCell ref="B57:B59"/>
    <mergeCell ref="C57:C59"/>
    <mergeCell ref="D57:D59"/>
    <mergeCell ref="J57:J59"/>
    <mergeCell ref="K57:K59"/>
    <mergeCell ref="A54:A56"/>
    <mergeCell ref="B54:B56"/>
    <mergeCell ref="C54:C56"/>
    <mergeCell ref="D54:D56"/>
    <mergeCell ref="J54:J56"/>
    <mergeCell ref="K54:K56"/>
    <mergeCell ref="A51:A53"/>
    <mergeCell ref="B51:B53"/>
    <mergeCell ref="C51:C53"/>
    <mergeCell ref="D51:D53"/>
    <mergeCell ref="J51:J53"/>
    <mergeCell ref="K51:K53"/>
    <mergeCell ref="A48:A50"/>
    <mergeCell ref="B48:B50"/>
    <mergeCell ref="C48:C50"/>
    <mergeCell ref="D48:D50"/>
    <mergeCell ref="J48:J50"/>
    <mergeCell ref="K48:K50"/>
    <mergeCell ref="A45:A47"/>
    <mergeCell ref="B45:B47"/>
    <mergeCell ref="C45:C47"/>
    <mergeCell ref="D45:D47"/>
    <mergeCell ref="J45:J47"/>
    <mergeCell ref="K45:K47"/>
    <mergeCell ref="A42:A44"/>
    <mergeCell ref="B42:B44"/>
    <mergeCell ref="C42:C44"/>
    <mergeCell ref="D42:D44"/>
    <mergeCell ref="J42:J44"/>
    <mergeCell ref="K42:K44"/>
    <mergeCell ref="A39:A41"/>
    <mergeCell ref="B39:B41"/>
    <mergeCell ref="C39:C41"/>
    <mergeCell ref="D39:D41"/>
    <mergeCell ref="J39:J41"/>
    <mergeCell ref="K39:K41"/>
    <mergeCell ref="A30:A32"/>
    <mergeCell ref="B30:B32"/>
    <mergeCell ref="C30:C32"/>
    <mergeCell ref="D30:D32"/>
    <mergeCell ref="J30:J32"/>
    <mergeCell ref="K30:K32"/>
    <mergeCell ref="N31:O31"/>
    <mergeCell ref="A36:A38"/>
    <mergeCell ref="B36:B38"/>
    <mergeCell ref="C36:C38"/>
    <mergeCell ref="D36:D38"/>
    <mergeCell ref="J36:J38"/>
    <mergeCell ref="K36:K38"/>
    <mergeCell ref="A33:A35"/>
    <mergeCell ref="B33:B35"/>
    <mergeCell ref="C33:C35"/>
    <mergeCell ref="D33:D35"/>
    <mergeCell ref="J33:J35"/>
    <mergeCell ref="K33:K35"/>
    <mergeCell ref="M24:O24"/>
    <mergeCell ref="N25:O25"/>
    <mergeCell ref="N26:O26"/>
    <mergeCell ref="A27:A29"/>
    <mergeCell ref="B27:B29"/>
    <mergeCell ref="C27:C29"/>
    <mergeCell ref="D27:D29"/>
    <mergeCell ref="J27:J29"/>
    <mergeCell ref="K27:K29"/>
    <mergeCell ref="N27:O27"/>
    <mergeCell ref="A24:A26"/>
    <mergeCell ref="B24:B26"/>
    <mergeCell ref="C24:C26"/>
    <mergeCell ref="D24:D26"/>
    <mergeCell ref="J24:J26"/>
    <mergeCell ref="K24:K26"/>
    <mergeCell ref="N28:O28"/>
    <mergeCell ref="N29:O29"/>
    <mergeCell ref="A21:A23"/>
    <mergeCell ref="B21:B23"/>
    <mergeCell ref="C21:C23"/>
    <mergeCell ref="D21:D23"/>
    <mergeCell ref="J21:J23"/>
    <mergeCell ref="K21:K23"/>
    <mergeCell ref="M16:O17"/>
    <mergeCell ref="A18:A20"/>
    <mergeCell ref="B18:B20"/>
    <mergeCell ref="C18:C20"/>
    <mergeCell ref="D18:D20"/>
    <mergeCell ref="J18:J20"/>
    <mergeCell ref="K18:K20"/>
    <mergeCell ref="M19:O20"/>
    <mergeCell ref="A15:A17"/>
    <mergeCell ref="B15:B17"/>
    <mergeCell ref="C15:C17"/>
    <mergeCell ref="D15:D17"/>
    <mergeCell ref="J15:J17"/>
    <mergeCell ref="K15:K17"/>
    <mergeCell ref="A12:A14"/>
    <mergeCell ref="B12:B14"/>
    <mergeCell ref="C12:C14"/>
    <mergeCell ref="D12:D14"/>
    <mergeCell ref="J12:J14"/>
    <mergeCell ref="K12:K14"/>
    <mergeCell ref="A9:A11"/>
    <mergeCell ref="B9:B11"/>
    <mergeCell ref="C9:C11"/>
    <mergeCell ref="D9:D11"/>
    <mergeCell ref="J9:J11"/>
    <mergeCell ref="K9:K11"/>
    <mergeCell ref="J3:J5"/>
    <mergeCell ref="K3:K5"/>
    <mergeCell ref="A6:A8"/>
    <mergeCell ref="B6:B8"/>
    <mergeCell ref="C6:C8"/>
    <mergeCell ref="D6:D8"/>
    <mergeCell ref="J6:J8"/>
    <mergeCell ref="K6:K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7" orientation="portrait" r:id="rId1"/>
  <headerFooter>
    <oddHeader>&amp;LPrüfungsplan: &amp;A</oddHeader>
    <oddFooter>&amp;L&amp;8PQM&amp;C&amp;8Dateiname: &amp;F&amp;R&amp;8Stand: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2B69-8A69-4AAD-AE8A-C8C3AA9CADDE}">
  <sheetPr>
    <pageSetUpPr fitToPage="1"/>
  </sheetPr>
  <dimension ref="A1:P71"/>
  <sheetViews>
    <sheetView topLeftCell="A23" zoomScale="85" zoomScaleNormal="85" zoomScaleSheetLayoutView="120" workbookViewId="0">
      <selection activeCell="F39" sqref="F39:F41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7" width="12.109375" style="3" customWidth="1"/>
    <col min="8" max="8" width="16.77734375" style="3" customWidth="1"/>
    <col min="9" max="9" width="12.77734375" style="3" customWidth="1"/>
    <col min="10" max="10" width="15.88671875" style="3" customWidth="1"/>
    <col min="11" max="11" width="4.33203125" customWidth="1"/>
    <col min="12" max="12" width="17.6640625" customWidth="1"/>
    <col min="13" max="13" width="19.777343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43</v>
      </c>
      <c r="B1" s="194"/>
      <c r="C1" s="194"/>
      <c r="D1" s="194"/>
      <c r="E1" s="194"/>
      <c r="F1" s="194"/>
      <c r="G1" s="194"/>
      <c r="H1" s="194"/>
      <c r="I1" s="194"/>
      <c r="J1" s="146" t="s">
        <v>44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 hidden="1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42"/>
      <c r="F3" s="42"/>
      <c r="G3" s="11"/>
      <c r="H3" s="11"/>
      <c r="I3" s="11"/>
      <c r="J3" s="280"/>
      <c r="K3" s="9"/>
      <c r="L3" s="52" t="s">
        <v>13</v>
      </c>
      <c r="M3" s="52" t="s">
        <v>14</v>
      </c>
      <c r="N3" s="33"/>
    </row>
    <row r="4" spans="1:16" s="4" customFormat="1" ht="14.25" hidden="1" customHeight="1">
      <c r="A4" s="199"/>
      <c r="B4" s="201"/>
      <c r="C4" s="203"/>
      <c r="D4" s="205"/>
      <c r="E4" s="43"/>
      <c r="F4" s="43"/>
      <c r="G4" s="12"/>
      <c r="H4" s="12"/>
      <c r="I4" s="12"/>
      <c r="J4" s="281"/>
      <c r="K4" s="9"/>
      <c r="L4" s="52" t="s">
        <v>15</v>
      </c>
      <c r="M4" s="52" t="s">
        <v>16</v>
      </c>
      <c r="N4" s="33"/>
    </row>
    <row r="5" spans="1:16" s="4" customFormat="1" hidden="1">
      <c r="A5" s="199"/>
      <c r="B5" s="201"/>
      <c r="C5" s="203"/>
      <c r="D5" s="205"/>
      <c r="E5" s="44"/>
      <c r="F5" s="43"/>
      <c r="G5" s="12"/>
      <c r="H5" s="12"/>
      <c r="I5" s="12"/>
      <c r="J5" s="281"/>
      <c r="K5" s="9"/>
      <c r="L5" s="52" t="s">
        <v>17</v>
      </c>
      <c r="M5" s="52" t="s">
        <v>18</v>
      </c>
      <c r="N5" s="33"/>
    </row>
    <row r="6" spans="1:16" s="4" customFormat="1" hidden="1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80"/>
      <c r="K6" s="1"/>
      <c r="L6" s="33"/>
      <c r="M6" s="33"/>
      <c r="N6" s="33"/>
    </row>
    <row r="7" spans="1:16" s="4" customFormat="1" ht="14.25" hidden="1" customHeight="1">
      <c r="A7" s="209"/>
      <c r="B7" s="211"/>
      <c r="C7" s="203"/>
      <c r="D7" s="205"/>
      <c r="E7" s="12"/>
      <c r="F7" s="12"/>
      <c r="G7" s="12"/>
      <c r="H7" s="12"/>
      <c r="I7" s="12"/>
      <c r="J7" s="281"/>
      <c r="K7" s="1"/>
      <c r="L7" s="33"/>
      <c r="M7" s="33"/>
      <c r="N7" s="33"/>
    </row>
    <row r="8" spans="1:16" s="4" customFormat="1" ht="18" hidden="1" customHeight="1">
      <c r="A8" s="209"/>
      <c r="B8" s="211"/>
      <c r="C8" s="203"/>
      <c r="D8" s="205"/>
      <c r="E8" s="12"/>
      <c r="F8" s="12"/>
      <c r="G8" s="12"/>
      <c r="H8" s="12"/>
      <c r="I8" s="12"/>
      <c r="J8" s="281"/>
      <c r="K8" s="1"/>
      <c r="L8" s="33" t="s">
        <v>19</v>
      </c>
      <c r="M8" s="33" t="s">
        <v>20</v>
      </c>
      <c r="N8" s="33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80"/>
      <c r="L9" s="53" t="s">
        <v>22</v>
      </c>
      <c r="M9" s="53" t="s">
        <v>23</v>
      </c>
      <c r="N9" s="33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81"/>
      <c r="L10" s="53" t="s">
        <v>24</v>
      </c>
      <c r="M10" s="53" t="s">
        <v>25</v>
      </c>
      <c r="N10" s="33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81"/>
      <c r="L11" s="53" t="s">
        <v>26</v>
      </c>
      <c r="M11" s="53" t="s">
        <v>46</v>
      </c>
      <c r="N11" s="33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80"/>
      <c r="L12" s="33"/>
      <c r="M12" s="33"/>
      <c r="N12" s="33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81"/>
      <c r="L13" s="33"/>
      <c r="M13" s="33"/>
      <c r="N13" s="33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81"/>
      <c r="L14" s="33"/>
      <c r="M14" s="33"/>
      <c r="N14" s="33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80"/>
      <c r="L15" s="17"/>
      <c r="M15" s="33"/>
      <c r="N15" s="33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81"/>
      <c r="L16" s="279"/>
      <c r="M16" s="279"/>
      <c r="N16" s="279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81"/>
      <c r="L17" s="279"/>
      <c r="M17" s="279"/>
      <c r="N17" s="279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80"/>
      <c r="L18" s="17"/>
      <c r="M18" s="33"/>
      <c r="N18" s="33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81"/>
      <c r="L19" s="279"/>
      <c r="M19" s="279"/>
      <c r="N19" s="279"/>
    </row>
    <row r="20" spans="1:14" s="4" customFormat="1">
      <c r="A20" s="209"/>
      <c r="B20" s="211"/>
      <c r="C20" s="203"/>
      <c r="D20" s="205"/>
      <c r="E20" s="12"/>
      <c r="F20" s="12"/>
      <c r="G20" s="12"/>
      <c r="H20" s="12"/>
      <c r="I20" s="12"/>
      <c r="J20" s="281"/>
      <c r="L20" s="279"/>
      <c r="M20" s="279"/>
      <c r="N20" s="279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11"/>
      <c r="H21" s="11"/>
      <c r="I21" s="11"/>
      <c r="J21" s="285" t="s">
        <v>47</v>
      </c>
      <c r="L21" s="33"/>
      <c r="M21" s="33"/>
      <c r="N21" s="33"/>
    </row>
    <row r="22" spans="1:14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86"/>
      <c r="L22" s="54"/>
      <c r="M22" s="54"/>
      <c r="N22" s="54"/>
    </row>
    <row r="23" spans="1:14" s="4" customFormat="1" ht="18" customHeight="1">
      <c r="A23" s="209"/>
      <c r="B23" s="211"/>
      <c r="C23" s="203"/>
      <c r="D23" s="205"/>
      <c r="E23" s="12"/>
      <c r="F23" s="12"/>
      <c r="G23" s="12"/>
      <c r="H23" s="12"/>
      <c r="I23" s="12"/>
      <c r="J23" s="286"/>
      <c r="K23" s="6"/>
      <c r="L23" s="55"/>
      <c r="M23" s="55"/>
      <c r="N23" s="33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11"/>
      <c r="G24" s="11"/>
      <c r="H24" s="11"/>
      <c r="J24" s="280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12"/>
      <c r="F25" s="12"/>
      <c r="G25" s="12"/>
      <c r="H25" s="12"/>
      <c r="J25" s="281"/>
      <c r="L25" s="5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12"/>
      <c r="F26" s="12"/>
      <c r="G26" s="12"/>
      <c r="H26" s="12"/>
      <c r="J26" s="281"/>
      <c r="L26" s="57"/>
      <c r="M26" s="176" t="s">
        <v>33</v>
      </c>
      <c r="N26" s="177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142" t="s">
        <v>48</v>
      </c>
      <c r="F27" s="93" t="s">
        <v>49</v>
      </c>
      <c r="G27" s="133" t="s">
        <v>50</v>
      </c>
      <c r="H27" s="206" t="s">
        <v>45</v>
      </c>
      <c r="I27" s="206" t="s">
        <v>45</v>
      </c>
      <c r="J27" s="280"/>
      <c r="L27" s="58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143" t="s">
        <v>51</v>
      </c>
      <c r="F28" s="94" t="s">
        <v>52</v>
      </c>
      <c r="G28" s="133" t="s">
        <v>53</v>
      </c>
      <c r="H28" s="207"/>
      <c r="I28" s="207"/>
      <c r="J28" s="281"/>
      <c r="L28" s="59"/>
      <c r="M28" s="178" t="s">
        <v>36</v>
      </c>
      <c r="N28" s="179"/>
    </row>
    <row r="29" spans="1:14" s="4" customFormat="1">
      <c r="A29" s="209"/>
      <c r="B29" s="211"/>
      <c r="C29" s="203"/>
      <c r="D29" s="205"/>
      <c r="E29" s="143" t="s">
        <v>54</v>
      </c>
      <c r="F29" s="94" t="s">
        <v>55</v>
      </c>
      <c r="G29" s="120" t="s">
        <v>56</v>
      </c>
      <c r="H29" s="207"/>
      <c r="I29" s="207"/>
      <c r="J29" s="281"/>
      <c r="L29" s="60"/>
      <c r="M29" s="180" t="s">
        <v>37</v>
      </c>
      <c r="N29" s="180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64"/>
      <c r="F30" s="64"/>
      <c r="G30" s="64"/>
      <c r="H30" s="64"/>
      <c r="I30" s="64"/>
      <c r="J30" s="280"/>
      <c r="L30" s="66"/>
      <c r="M30" s="25" t="s">
        <v>57</v>
      </c>
      <c r="N30" s="26"/>
    </row>
    <row r="31" spans="1:14" s="4" customFormat="1" ht="18" customHeight="1">
      <c r="A31" s="209"/>
      <c r="B31" s="211"/>
      <c r="C31" s="203"/>
      <c r="D31" s="205"/>
      <c r="E31" s="65"/>
      <c r="F31" s="65"/>
      <c r="G31" s="65"/>
      <c r="H31" s="65"/>
      <c r="I31" s="65"/>
      <c r="J31" s="281"/>
      <c r="L31" s="67"/>
      <c r="M31" s="182"/>
      <c r="N31" s="183"/>
    </row>
    <row r="32" spans="1:14" s="4" customFormat="1" ht="18" customHeight="1">
      <c r="A32" s="209"/>
      <c r="B32" s="211"/>
      <c r="C32" s="203"/>
      <c r="D32" s="205"/>
      <c r="E32" s="77"/>
      <c r="F32" s="77"/>
      <c r="G32" s="77"/>
      <c r="H32" s="77"/>
      <c r="I32" s="77"/>
      <c r="J32" s="281"/>
      <c r="L32" s="28"/>
      <c r="M32" s="15"/>
      <c r="N32" s="15"/>
    </row>
    <row r="33" spans="1:14" s="4" customFormat="1" ht="26.25" customHeight="1">
      <c r="A33" s="270">
        <f>A30+1</f>
        <v>11</v>
      </c>
      <c r="B33" s="273">
        <f>D30+3</f>
        <v>46125</v>
      </c>
      <c r="C33" s="276" t="s">
        <v>12</v>
      </c>
      <c r="D33" s="273">
        <f t="shared" si="0"/>
        <v>46129</v>
      </c>
      <c r="E33" s="79" t="s">
        <v>58</v>
      </c>
      <c r="F33" s="82"/>
      <c r="G33" s="81" t="s">
        <v>59</v>
      </c>
      <c r="H33" s="82"/>
      <c r="I33" s="83" t="s">
        <v>60</v>
      </c>
      <c r="J33" s="291"/>
      <c r="L33" s="15" t="s">
        <v>61</v>
      </c>
      <c r="M33" s="15"/>
      <c r="N33" s="29"/>
    </row>
    <row r="34" spans="1:14" s="4" customFormat="1" ht="18" customHeight="1">
      <c r="A34" s="271"/>
      <c r="B34" s="274"/>
      <c r="C34" s="277"/>
      <c r="D34" s="274"/>
      <c r="E34" s="72" t="s">
        <v>62</v>
      </c>
      <c r="F34" s="75"/>
      <c r="G34" s="74" t="s">
        <v>63</v>
      </c>
      <c r="H34" s="75"/>
      <c r="I34" s="76" t="s">
        <v>64</v>
      </c>
      <c r="J34" s="292"/>
      <c r="L34" s="4" t="s">
        <v>65</v>
      </c>
      <c r="M34" s="4" t="s">
        <v>66</v>
      </c>
      <c r="N34" s="32"/>
    </row>
    <row r="35" spans="1:14" s="4" customFormat="1" ht="28.5" customHeight="1">
      <c r="A35" s="272"/>
      <c r="B35" s="275"/>
      <c r="C35" s="278"/>
      <c r="D35" s="275"/>
      <c r="E35" s="84" t="s">
        <v>67</v>
      </c>
      <c r="F35" s="87"/>
      <c r="G35" s="86" t="s">
        <v>67</v>
      </c>
      <c r="H35" s="87"/>
      <c r="I35" s="88" t="s">
        <v>68</v>
      </c>
      <c r="J35" s="293"/>
      <c r="L35" s="4" t="s">
        <v>69</v>
      </c>
      <c r="M35" s="4" t="s">
        <v>70</v>
      </c>
      <c r="N35" s="15"/>
    </row>
    <row r="36" spans="1:14" s="4" customFormat="1" ht="18" customHeight="1">
      <c r="A36" s="209">
        <f>A33+1</f>
        <v>12</v>
      </c>
      <c r="B36" s="211">
        <f>D33+3</f>
        <v>46132</v>
      </c>
      <c r="C36" s="203" t="s">
        <v>12</v>
      </c>
      <c r="D36" s="205">
        <f>B36+4</f>
        <v>46136</v>
      </c>
      <c r="E36" s="97" t="s">
        <v>71</v>
      </c>
      <c r="F36" s="207" t="s">
        <v>45</v>
      </c>
      <c r="G36" s="78"/>
      <c r="H36" s="207" t="s">
        <v>45</v>
      </c>
      <c r="I36" s="11"/>
      <c r="J36" s="281"/>
    </row>
    <row r="37" spans="1:14" s="4" customFormat="1" ht="18" customHeight="1">
      <c r="A37" s="209"/>
      <c r="B37" s="211"/>
      <c r="C37" s="203"/>
      <c r="D37" s="205"/>
      <c r="E37" s="98" t="s">
        <v>72</v>
      </c>
      <c r="F37" s="207"/>
      <c r="G37" s="12"/>
      <c r="H37" s="207"/>
      <c r="I37" s="12"/>
      <c r="J37" s="281"/>
    </row>
    <row r="38" spans="1:14" s="4" customFormat="1" ht="18" customHeight="1">
      <c r="A38" s="209"/>
      <c r="B38" s="211"/>
      <c r="C38" s="203"/>
      <c r="D38" s="205"/>
      <c r="E38" s="98" t="s">
        <v>73</v>
      </c>
      <c r="F38" s="207"/>
      <c r="G38" s="12"/>
      <c r="H38" s="207"/>
      <c r="I38" s="12"/>
      <c r="J38" s="281"/>
    </row>
    <row r="39" spans="1:14" s="4" customFormat="1" ht="24.75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/>
      <c r="F39" s="68" t="s">
        <v>74</v>
      </c>
      <c r="G39" s="11"/>
      <c r="H39" s="11"/>
      <c r="I39" s="206" t="s">
        <v>45</v>
      </c>
      <c r="J39" s="280"/>
    </row>
    <row r="40" spans="1:14" s="4" customFormat="1" ht="18" customHeight="1">
      <c r="A40" s="209"/>
      <c r="B40" s="211"/>
      <c r="C40" s="203"/>
      <c r="D40" s="205"/>
      <c r="E40" s="12"/>
      <c r="F40" s="69" t="s">
        <v>75</v>
      </c>
      <c r="G40" s="12"/>
      <c r="H40" s="12"/>
      <c r="I40" s="207"/>
      <c r="J40" s="281"/>
    </row>
    <row r="41" spans="1:14" s="4" customFormat="1" ht="24" customHeight="1">
      <c r="A41" s="209"/>
      <c r="B41" s="211"/>
      <c r="C41" s="203"/>
      <c r="D41" s="205"/>
      <c r="E41" s="12"/>
      <c r="F41" s="69">
        <v>4.5</v>
      </c>
      <c r="G41" s="12"/>
      <c r="H41" s="12"/>
      <c r="I41" s="207"/>
      <c r="J41" s="281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/>
      <c r="G42" s="137" t="s">
        <v>76</v>
      </c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12"/>
      <c r="G43" s="138" t="s">
        <v>55</v>
      </c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12"/>
      <c r="F44" s="12"/>
      <c r="G44" s="138" t="s">
        <v>78</v>
      </c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93" t="s">
        <v>49</v>
      </c>
      <c r="G45" s="139" t="s">
        <v>79</v>
      </c>
      <c r="H45" s="11"/>
      <c r="I45" s="11"/>
      <c r="J45" s="287" t="s">
        <v>66</v>
      </c>
      <c r="L45" s="4" t="s">
        <v>80</v>
      </c>
    </row>
    <row r="46" spans="1:14" s="4" customFormat="1" ht="18" customHeight="1">
      <c r="A46" s="209"/>
      <c r="B46" s="211"/>
      <c r="C46" s="220"/>
      <c r="D46" s="205"/>
      <c r="E46" s="12"/>
      <c r="F46" s="94" t="s">
        <v>52</v>
      </c>
      <c r="G46" s="125" t="s">
        <v>81</v>
      </c>
      <c r="H46" s="12"/>
      <c r="I46" s="12"/>
      <c r="J46" s="288"/>
    </row>
    <row r="47" spans="1:14" s="4" customFormat="1" ht="27.75" customHeight="1">
      <c r="A47" s="209"/>
      <c r="B47" s="211"/>
      <c r="C47" s="220"/>
      <c r="D47" s="205"/>
      <c r="E47" s="12"/>
      <c r="F47" s="94" t="s">
        <v>55</v>
      </c>
      <c r="G47" s="125" t="s">
        <v>67</v>
      </c>
      <c r="H47" s="12"/>
      <c r="I47" s="12"/>
      <c r="J47" s="288"/>
    </row>
    <row r="48" spans="1:14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42" t="s">
        <v>48</v>
      </c>
      <c r="F48" s="11"/>
      <c r="G48" s="11"/>
      <c r="H48" s="11"/>
      <c r="I48" s="99" t="s">
        <v>71</v>
      </c>
      <c r="J48" s="289"/>
    </row>
    <row r="49" spans="1:10" s="4" customFormat="1" ht="18" customHeight="1">
      <c r="A49" s="209"/>
      <c r="B49" s="211"/>
      <c r="C49" s="220"/>
      <c r="D49" s="205"/>
      <c r="E49" s="143" t="s">
        <v>51</v>
      </c>
      <c r="F49" s="12"/>
      <c r="G49" s="12"/>
      <c r="H49" s="12"/>
      <c r="I49" s="98" t="s">
        <v>72</v>
      </c>
      <c r="J49" s="290"/>
    </row>
    <row r="50" spans="1:10" s="4" customFormat="1" ht="18" customHeight="1">
      <c r="A50" s="209"/>
      <c r="B50" s="211"/>
      <c r="C50" s="220"/>
      <c r="D50" s="205"/>
      <c r="E50" s="143" t="s">
        <v>54</v>
      </c>
      <c r="F50" s="12"/>
      <c r="G50" s="12"/>
      <c r="H50" s="12"/>
      <c r="I50" s="98" t="s">
        <v>73</v>
      </c>
      <c r="J50" s="290"/>
    </row>
    <row r="51" spans="1:10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33" t="s">
        <v>50</v>
      </c>
      <c r="F51" s="11"/>
      <c r="G51" s="81" t="s">
        <v>59</v>
      </c>
      <c r="H51" s="11"/>
      <c r="J51" s="283"/>
    </row>
    <row r="52" spans="1:10" s="4" customFormat="1" ht="18" customHeight="1">
      <c r="A52" s="209"/>
      <c r="B52" s="211"/>
      <c r="C52" s="220"/>
      <c r="D52" s="205"/>
      <c r="E52" s="133" t="s">
        <v>82</v>
      </c>
      <c r="F52" s="12"/>
      <c r="G52" s="74" t="s">
        <v>63</v>
      </c>
      <c r="H52" s="12"/>
      <c r="J52" s="284"/>
    </row>
    <row r="53" spans="1:10" s="4" customFormat="1" ht="27" customHeight="1">
      <c r="A53" s="209"/>
      <c r="B53" s="211"/>
      <c r="C53" s="220"/>
      <c r="D53" s="205"/>
      <c r="E53" s="133" t="s">
        <v>83</v>
      </c>
      <c r="F53" s="12"/>
      <c r="G53" s="86" t="s">
        <v>67</v>
      </c>
      <c r="H53" s="12"/>
      <c r="J53" s="284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7" t="s">
        <v>84</v>
      </c>
      <c r="F54" s="187" t="s">
        <v>84</v>
      </c>
      <c r="G54" s="187" t="s">
        <v>84</v>
      </c>
      <c r="H54" s="206" t="s">
        <v>45</v>
      </c>
      <c r="I54" s="206" t="s">
        <v>45</v>
      </c>
      <c r="J54" s="283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84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284"/>
    </row>
    <row r="57" spans="1:10" s="4" customFormat="1" ht="26.25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79" t="s">
        <v>58</v>
      </c>
      <c r="G57" s="11"/>
      <c r="H57" s="144" t="s">
        <v>85</v>
      </c>
      <c r="I57" s="70" t="s">
        <v>60</v>
      </c>
      <c r="J57" s="280"/>
    </row>
    <row r="58" spans="1:10" s="4" customFormat="1" ht="18" customHeight="1">
      <c r="A58" s="209"/>
      <c r="B58" s="211"/>
      <c r="C58" s="220"/>
      <c r="D58" s="205"/>
      <c r="E58" s="12"/>
      <c r="F58" s="72" t="s">
        <v>86</v>
      </c>
      <c r="G58" s="12"/>
      <c r="H58" s="145" t="s">
        <v>87</v>
      </c>
      <c r="I58" s="71" t="s">
        <v>64</v>
      </c>
      <c r="J58" s="281"/>
    </row>
    <row r="59" spans="1:10" s="4" customFormat="1" ht="18" customHeight="1">
      <c r="A59" s="209"/>
      <c r="B59" s="211"/>
      <c r="C59" s="220"/>
      <c r="D59" s="205"/>
      <c r="E59" s="12"/>
      <c r="F59" s="84" t="s">
        <v>55</v>
      </c>
      <c r="G59" s="12"/>
      <c r="H59" s="145" t="s">
        <v>88</v>
      </c>
      <c r="I59" s="71" t="s">
        <v>68</v>
      </c>
      <c r="J59" s="281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/>
      <c r="F60" s="137" t="s">
        <v>76</v>
      </c>
      <c r="H60" s="267" t="s">
        <v>89</v>
      </c>
      <c r="I60" s="11"/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/>
      <c r="F61" s="138" t="s">
        <v>55</v>
      </c>
      <c r="H61" s="268"/>
      <c r="I61" s="12"/>
      <c r="J61" s="224"/>
    </row>
    <row r="62" spans="1:10" s="4" customFormat="1" ht="18" customHeight="1">
      <c r="A62" s="209"/>
      <c r="B62" s="211"/>
      <c r="C62" s="220"/>
      <c r="D62" s="205"/>
      <c r="E62" s="12"/>
      <c r="F62" s="138" t="s">
        <v>78</v>
      </c>
      <c r="H62" s="269"/>
      <c r="I62" s="12"/>
      <c r="J62" s="2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255" t="s">
        <v>90</v>
      </c>
      <c r="G63" s="256"/>
      <c r="H63" s="256"/>
      <c r="I63" s="257"/>
      <c r="J63" s="280"/>
    </row>
    <row r="64" spans="1:10" ht="18" customHeight="1">
      <c r="A64" s="233"/>
      <c r="B64" s="236"/>
      <c r="C64" s="239"/>
      <c r="D64" s="236"/>
      <c r="E64" s="12"/>
      <c r="F64" s="258"/>
      <c r="G64" s="259"/>
      <c r="H64" s="259"/>
      <c r="I64" s="260"/>
      <c r="J64" s="281"/>
    </row>
    <row r="65" spans="1:10" ht="15" customHeight="1">
      <c r="A65" s="234"/>
      <c r="B65" s="237"/>
      <c r="C65" s="240"/>
      <c r="D65" s="237"/>
      <c r="E65" s="13"/>
      <c r="F65" s="261"/>
      <c r="G65" s="262"/>
      <c r="H65" s="262"/>
      <c r="I65" s="263"/>
      <c r="J65" s="282"/>
    </row>
    <row r="66" spans="1:10" ht="15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264" t="s">
        <v>91</v>
      </c>
      <c r="G66" s="11"/>
      <c r="H66" s="11"/>
      <c r="I66" s="11"/>
      <c r="J66" s="280"/>
    </row>
    <row r="67" spans="1:10" ht="15" customHeight="1">
      <c r="A67" s="233"/>
      <c r="B67" s="236"/>
      <c r="C67" s="239"/>
      <c r="D67" s="236"/>
      <c r="E67" s="12"/>
      <c r="F67" s="265"/>
      <c r="G67" s="12"/>
      <c r="H67" s="12"/>
      <c r="I67" s="12"/>
      <c r="J67" s="281"/>
    </row>
    <row r="68" spans="1:10" ht="15" customHeight="1">
      <c r="A68" s="234"/>
      <c r="B68" s="237"/>
      <c r="C68" s="240"/>
      <c r="D68" s="237"/>
      <c r="E68" s="13"/>
      <c r="F68" s="266"/>
      <c r="G68" s="13"/>
      <c r="H68" s="13"/>
      <c r="I68" s="13"/>
      <c r="J68" s="282"/>
    </row>
    <row r="69" spans="1:10" ht="15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11"/>
      <c r="F69" s="11"/>
      <c r="G69" s="11"/>
      <c r="H69" s="11"/>
      <c r="I69" s="11"/>
      <c r="J69" s="280"/>
    </row>
    <row r="70" spans="1:10" ht="15" customHeight="1">
      <c r="A70" s="233"/>
      <c r="B70" s="236"/>
      <c r="C70" s="239"/>
      <c r="D70" s="236"/>
      <c r="E70" s="12"/>
      <c r="F70" s="12"/>
      <c r="G70" s="12"/>
      <c r="H70" s="12"/>
      <c r="I70" s="12"/>
      <c r="J70" s="281"/>
    </row>
    <row r="71" spans="1:10" ht="15" customHeight="1">
      <c r="A71" s="234"/>
      <c r="B71" s="237"/>
      <c r="C71" s="240"/>
      <c r="D71" s="237"/>
      <c r="E71" s="13"/>
      <c r="F71" s="13"/>
      <c r="G71" s="13"/>
      <c r="H71" s="13"/>
      <c r="I71" s="13"/>
      <c r="J71" s="282"/>
    </row>
  </sheetData>
  <mergeCells count="144">
    <mergeCell ref="J21:J23"/>
    <mergeCell ref="B2:D2"/>
    <mergeCell ref="E54:E56"/>
    <mergeCell ref="F54:F56"/>
    <mergeCell ref="G54:G56"/>
    <mergeCell ref="J42:J44"/>
    <mergeCell ref="J45:J47"/>
    <mergeCell ref="J48:J50"/>
    <mergeCell ref="J12:J14"/>
    <mergeCell ref="J24:J26"/>
    <mergeCell ref="J27:J29"/>
    <mergeCell ref="J30:J32"/>
    <mergeCell ref="J33:J35"/>
    <mergeCell ref="D30:D32"/>
    <mergeCell ref="H27:H29"/>
    <mergeCell ref="I27:I29"/>
    <mergeCell ref="F36:F38"/>
    <mergeCell ref="H36:H38"/>
    <mergeCell ref="I39:I41"/>
    <mergeCell ref="H54:H56"/>
    <mergeCell ref="I54:I56"/>
    <mergeCell ref="B45:B47"/>
    <mergeCell ref="C45:C47"/>
    <mergeCell ref="D45:D47"/>
    <mergeCell ref="M25:N25"/>
    <mergeCell ref="M26:N26"/>
    <mergeCell ref="M27:N27"/>
    <mergeCell ref="M28:N28"/>
    <mergeCell ref="M29:N29"/>
    <mergeCell ref="M31:N31"/>
    <mergeCell ref="A1:I1"/>
    <mergeCell ref="J66:J68"/>
    <mergeCell ref="J69:J71"/>
    <mergeCell ref="A66:A68"/>
    <mergeCell ref="B66:B68"/>
    <mergeCell ref="C66:C68"/>
    <mergeCell ref="D66:D68"/>
    <mergeCell ref="A69:A71"/>
    <mergeCell ref="B69:B71"/>
    <mergeCell ref="C69:C71"/>
    <mergeCell ref="D69:D71"/>
    <mergeCell ref="J36:J38"/>
    <mergeCell ref="J39:J41"/>
    <mergeCell ref="J57:J59"/>
    <mergeCell ref="J60:J62"/>
    <mergeCell ref="J63:J65"/>
    <mergeCell ref="J51:J53"/>
    <mergeCell ref="J54:J56"/>
    <mergeCell ref="L19:N20"/>
    <mergeCell ref="D3:D5"/>
    <mergeCell ref="C3:C5"/>
    <mergeCell ref="B3:B5"/>
    <mergeCell ref="L16:N17"/>
    <mergeCell ref="J15:J17"/>
    <mergeCell ref="J18:J20"/>
    <mergeCell ref="J9:J11"/>
    <mergeCell ref="J3:J5"/>
    <mergeCell ref="J6:J8"/>
    <mergeCell ref="E9:E11"/>
    <mergeCell ref="F9:F11"/>
    <mergeCell ref="G9:G11"/>
    <mergeCell ref="H9:H11"/>
    <mergeCell ref="I9:I11"/>
    <mergeCell ref="A3:A5"/>
    <mergeCell ref="A6:A8"/>
    <mergeCell ref="B6:B8"/>
    <mergeCell ref="C6:C8"/>
    <mergeCell ref="D6:D8"/>
    <mergeCell ref="A9:A11"/>
    <mergeCell ref="B9:B11"/>
    <mergeCell ref="C9:C11"/>
    <mergeCell ref="D9:D11"/>
    <mergeCell ref="A30:A32"/>
    <mergeCell ref="B30:B32"/>
    <mergeCell ref="C30:C32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C24:C26"/>
    <mergeCell ref="B24:B26"/>
    <mergeCell ref="D24:D26"/>
    <mergeCell ref="A27:A29"/>
    <mergeCell ref="A45:A47"/>
    <mergeCell ref="B27:B29"/>
    <mergeCell ref="C27:C29"/>
    <mergeCell ref="D27:D29"/>
    <mergeCell ref="A39:A41"/>
    <mergeCell ref="B39:B41"/>
    <mergeCell ref="C39:C41"/>
    <mergeCell ref="A63:A65"/>
    <mergeCell ref="B63:B65"/>
    <mergeCell ref="C63:C65"/>
    <mergeCell ref="D63:D65"/>
    <mergeCell ref="D57:D59"/>
    <mergeCell ref="A57:A59"/>
    <mergeCell ref="B57:B59"/>
    <mergeCell ref="C57:C59"/>
    <mergeCell ref="A60:A62"/>
    <mergeCell ref="B60:B62"/>
    <mergeCell ref="C60:C62"/>
    <mergeCell ref="D60:D62"/>
    <mergeCell ref="A33:A35"/>
    <mergeCell ref="B33:B35"/>
    <mergeCell ref="C33:C35"/>
    <mergeCell ref="D33:D35"/>
    <mergeCell ref="A36:A38"/>
    <mergeCell ref="B36:B38"/>
    <mergeCell ref="C36:C38"/>
    <mergeCell ref="D36:D38"/>
    <mergeCell ref="F63:I65"/>
    <mergeCell ref="F66:F68"/>
    <mergeCell ref="H60:H62"/>
    <mergeCell ref="D39:D41"/>
    <mergeCell ref="L24:N24"/>
    <mergeCell ref="A54:A56"/>
    <mergeCell ref="B54:B56"/>
    <mergeCell ref="C54:C56"/>
    <mergeCell ref="D54:D56"/>
    <mergeCell ref="A48:A50"/>
    <mergeCell ref="B48:B50"/>
    <mergeCell ref="C48:C50"/>
    <mergeCell ref="D48:D50"/>
    <mergeCell ref="A51:A53"/>
    <mergeCell ref="B51:B53"/>
    <mergeCell ref="C51:C53"/>
    <mergeCell ref="D51:D53"/>
    <mergeCell ref="A42:A44"/>
    <mergeCell ref="B42:B44"/>
    <mergeCell ref="C42:C44"/>
    <mergeCell ref="D42:D44"/>
  </mergeCells>
  <pageMargins left="0.25" right="0.25" top="0.47055555555555556" bottom="0.75" header="0.3" footer="0.3"/>
  <pageSetup paperSize="9" scale="65" orientation="portrait" r:id="rId1"/>
  <headerFooter>
    <oddHeader>&amp;LPrüfungsplan: &amp;A</oddHeader>
    <oddFooter>&amp;L&amp;8PQM&amp;C&amp;8Dateiname: &amp;F&amp;R&amp;8Stand: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251F-60D8-CB42-BF3E-0B80A92170D0}">
  <sheetPr>
    <pageSetUpPr fitToPage="1"/>
  </sheetPr>
  <dimension ref="A1:P71"/>
  <sheetViews>
    <sheetView topLeftCell="A27" zoomScale="85" zoomScaleNormal="85" zoomScaleSheetLayoutView="120" workbookViewId="0">
      <selection activeCell="F40" sqref="F40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9" width="12.109375" style="3" customWidth="1"/>
    <col min="10" max="10" width="13.77734375" style="3" customWidth="1"/>
    <col min="11" max="11" width="4.33203125" customWidth="1"/>
    <col min="12" max="12" width="19.21875" customWidth="1"/>
    <col min="13" max="13" width="21.664062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92</v>
      </c>
      <c r="B1" s="194"/>
      <c r="C1" s="194"/>
      <c r="D1" s="194"/>
      <c r="E1" s="194"/>
      <c r="F1" s="194"/>
      <c r="G1" s="194"/>
      <c r="H1" s="194"/>
      <c r="I1" s="194"/>
      <c r="J1" s="146" t="s">
        <v>93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6.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42"/>
      <c r="F3" s="42"/>
      <c r="G3" s="11"/>
      <c r="H3" s="11"/>
      <c r="I3" s="11"/>
      <c r="J3" s="280"/>
      <c r="K3" s="9"/>
      <c r="L3" s="61" t="s">
        <v>13</v>
      </c>
      <c r="M3" s="61" t="s">
        <v>14</v>
      </c>
      <c r="N3" s="15"/>
    </row>
    <row r="4" spans="1:16" s="4" customFormat="1" ht="18">
      <c r="A4" s="199"/>
      <c r="B4" s="201"/>
      <c r="C4" s="203"/>
      <c r="D4" s="205"/>
      <c r="E4" s="43"/>
      <c r="F4" s="43"/>
      <c r="G4" s="12"/>
      <c r="H4" s="12"/>
      <c r="I4" s="12"/>
      <c r="J4" s="281"/>
      <c r="K4" s="9"/>
      <c r="L4" s="61" t="s">
        <v>15</v>
      </c>
      <c r="M4" s="61" t="s">
        <v>16</v>
      </c>
      <c r="N4" s="15"/>
    </row>
    <row r="5" spans="1:16" s="4" customFormat="1" ht="18.75" customHeight="1">
      <c r="A5" s="199"/>
      <c r="B5" s="201"/>
      <c r="C5" s="203"/>
      <c r="D5" s="205"/>
      <c r="E5" s="44"/>
      <c r="F5" s="43"/>
      <c r="G5" s="12"/>
      <c r="H5" s="12"/>
      <c r="I5" s="12"/>
      <c r="J5" s="281"/>
      <c r="K5" s="9"/>
      <c r="L5" s="61" t="s">
        <v>17</v>
      </c>
      <c r="M5" s="61" t="s">
        <v>18</v>
      </c>
      <c r="N5" s="15"/>
    </row>
    <row r="6" spans="1:16" s="4" customFormat="1" ht="18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80"/>
      <c r="K6" s="1"/>
      <c r="L6" s="62"/>
      <c r="M6" s="62"/>
      <c r="N6" s="15"/>
    </row>
    <row r="7" spans="1:16" s="4" customFormat="1" ht="18">
      <c r="A7" s="209"/>
      <c r="B7" s="211"/>
      <c r="C7" s="203"/>
      <c r="D7" s="205"/>
      <c r="E7" s="12"/>
      <c r="F7" s="12"/>
      <c r="G7" s="12"/>
      <c r="H7" s="12"/>
      <c r="I7" s="12"/>
      <c r="J7" s="281"/>
      <c r="K7" s="1"/>
      <c r="L7" s="62"/>
      <c r="M7" s="62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81"/>
      <c r="K8" s="1"/>
      <c r="L8" s="62" t="s">
        <v>19</v>
      </c>
      <c r="M8" s="62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80"/>
      <c r="L9" s="63" t="s">
        <v>22</v>
      </c>
      <c r="M9" s="63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81"/>
      <c r="L10" s="63" t="s">
        <v>24</v>
      </c>
      <c r="M10" s="63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81"/>
      <c r="L11" s="63" t="s">
        <v>26</v>
      </c>
      <c r="M11" s="63" t="s">
        <v>94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80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81"/>
      <c r="L13" s="15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81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80"/>
      <c r="L15" s="17"/>
      <c r="M15" s="15"/>
      <c r="N15" s="1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81"/>
      <c r="L16" s="245"/>
      <c r="M16" s="245"/>
      <c r="N16" s="245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81"/>
      <c r="L17" s="245"/>
      <c r="M17" s="245"/>
      <c r="N17" s="245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80"/>
      <c r="L18" s="17"/>
      <c r="M18" s="15"/>
      <c r="N18" s="15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81"/>
      <c r="L19" s="245"/>
      <c r="M19" s="245"/>
      <c r="N19" s="245"/>
    </row>
    <row r="20" spans="1:14" s="4" customFormat="1">
      <c r="A20" s="209"/>
      <c r="B20" s="211"/>
      <c r="C20" s="203"/>
      <c r="D20" s="205"/>
      <c r="E20" s="12"/>
      <c r="F20" s="12"/>
      <c r="G20" s="12"/>
      <c r="H20" s="12"/>
      <c r="I20" s="12"/>
      <c r="J20" s="281"/>
      <c r="L20" s="245"/>
      <c r="M20" s="245"/>
      <c r="N20" s="245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11"/>
      <c r="H21" s="11"/>
      <c r="I21" s="11"/>
      <c r="J21" s="285" t="s">
        <v>47</v>
      </c>
      <c r="L21" s="15"/>
      <c r="M21" s="15"/>
      <c r="N21" s="15"/>
    </row>
    <row r="22" spans="1:14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86"/>
      <c r="L22" s="18"/>
      <c r="M22" s="18"/>
      <c r="N22" s="18"/>
    </row>
    <row r="23" spans="1:14" s="4" customFormat="1" ht="18" customHeight="1">
      <c r="A23" s="209"/>
      <c r="B23" s="211"/>
      <c r="C23" s="203"/>
      <c r="D23" s="205"/>
      <c r="E23" s="12"/>
      <c r="F23" s="12"/>
      <c r="G23" s="12"/>
      <c r="H23" s="12"/>
      <c r="I23" s="12"/>
      <c r="J23" s="286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11"/>
      <c r="G24" s="11"/>
      <c r="H24" s="11"/>
      <c r="J24" s="280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12"/>
      <c r="F25" s="12"/>
      <c r="G25" s="12"/>
      <c r="H25" s="12"/>
      <c r="J25" s="281"/>
      <c r="L25" s="5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12"/>
      <c r="F26" s="12"/>
      <c r="G26" s="12"/>
      <c r="H26" s="12"/>
      <c r="J26" s="281"/>
      <c r="L26" s="57"/>
      <c r="M26" s="176" t="s">
        <v>33</v>
      </c>
      <c r="N26" s="177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142" t="s">
        <v>48</v>
      </c>
      <c r="F27" s="93" t="s">
        <v>49</v>
      </c>
      <c r="H27" s="206" t="s">
        <v>45</v>
      </c>
      <c r="I27" s="206" t="s">
        <v>45</v>
      </c>
      <c r="J27" s="280"/>
      <c r="L27" s="58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142" t="s">
        <v>51</v>
      </c>
      <c r="F28" s="94" t="s">
        <v>52</v>
      </c>
      <c r="G28" s="133" t="s">
        <v>95</v>
      </c>
      <c r="H28" s="207"/>
      <c r="I28" s="207"/>
      <c r="J28" s="281"/>
      <c r="L28" s="59"/>
      <c r="M28" s="178" t="s">
        <v>36</v>
      </c>
      <c r="N28" s="179"/>
    </row>
    <row r="29" spans="1:14" s="4" customFormat="1">
      <c r="A29" s="209"/>
      <c r="B29" s="211"/>
      <c r="C29" s="203"/>
      <c r="D29" s="205"/>
      <c r="E29" s="142" t="s">
        <v>54</v>
      </c>
      <c r="F29" s="94" t="s">
        <v>55</v>
      </c>
      <c r="G29" s="120" t="s">
        <v>56</v>
      </c>
      <c r="H29" s="207"/>
      <c r="I29" s="207"/>
      <c r="J29" s="281"/>
      <c r="L29" s="60"/>
      <c r="M29" s="180" t="s">
        <v>37</v>
      </c>
      <c r="N29" s="180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64"/>
      <c r="F30" s="64"/>
      <c r="G30" s="64"/>
      <c r="H30" s="64"/>
      <c r="I30" s="64"/>
      <c r="J30" s="280"/>
      <c r="L30" s="66"/>
      <c r="M30" s="25" t="s">
        <v>57</v>
      </c>
      <c r="N30" s="26"/>
    </row>
    <row r="31" spans="1:14" s="4" customFormat="1" ht="18" customHeight="1">
      <c r="A31" s="209"/>
      <c r="B31" s="211"/>
      <c r="C31" s="203"/>
      <c r="D31" s="205"/>
      <c r="E31" s="65"/>
      <c r="F31" s="65"/>
      <c r="G31" s="65"/>
      <c r="H31" s="65"/>
      <c r="I31" s="65"/>
      <c r="J31" s="281"/>
      <c r="L31" s="67"/>
      <c r="M31" s="182"/>
      <c r="N31" s="183"/>
    </row>
    <row r="32" spans="1:14" s="4" customFormat="1" ht="18" customHeight="1">
      <c r="A32" s="209"/>
      <c r="B32" s="211"/>
      <c r="C32" s="203"/>
      <c r="D32" s="205"/>
      <c r="E32" s="77"/>
      <c r="F32" s="77"/>
      <c r="G32" s="77"/>
      <c r="H32" s="77"/>
      <c r="I32" s="77"/>
      <c r="J32" s="281"/>
      <c r="L32" s="28"/>
      <c r="M32" s="15"/>
      <c r="N32" s="15"/>
    </row>
    <row r="33" spans="1:14" s="4" customFormat="1" ht="27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79" t="s">
        <v>58</v>
      </c>
      <c r="F33" s="80"/>
      <c r="G33" s="81" t="s">
        <v>59</v>
      </c>
      <c r="H33" s="82"/>
      <c r="I33" s="83" t="s">
        <v>60</v>
      </c>
      <c r="J33" s="291"/>
      <c r="L33" s="15" t="s">
        <v>61</v>
      </c>
      <c r="M33" s="15"/>
      <c r="N33" s="29"/>
    </row>
    <row r="34" spans="1:14" s="4" customFormat="1" ht="18" customHeight="1">
      <c r="A34" s="213"/>
      <c r="B34" s="215"/>
      <c r="C34" s="218"/>
      <c r="D34" s="215"/>
      <c r="E34" s="72">
        <v>6.7</v>
      </c>
      <c r="F34" s="73"/>
      <c r="G34" s="74" t="s">
        <v>63</v>
      </c>
      <c r="H34" s="75"/>
      <c r="I34" s="76" t="s">
        <v>64</v>
      </c>
      <c r="J34" s="292"/>
      <c r="L34" s="4" t="s">
        <v>65</v>
      </c>
      <c r="M34" s="4" t="s">
        <v>66</v>
      </c>
      <c r="N34" s="32"/>
    </row>
    <row r="35" spans="1:14" s="4" customFormat="1" ht="29.25" customHeight="1">
      <c r="A35" s="213"/>
      <c r="B35" s="216"/>
      <c r="C35" s="218"/>
      <c r="D35" s="216"/>
      <c r="E35" s="84" t="s">
        <v>67</v>
      </c>
      <c r="F35" s="85"/>
      <c r="G35" s="86" t="s">
        <v>67</v>
      </c>
      <c r="H35" s="87"/>
      <c r="I35" s="88" t="s">
        <v>68</v>
      </c>
      <c r="J35" s="293"/>
      <c r="L35" s="4" t="s">
        <v>69</v>
      </c>
      <c r="M35" s="4" t="s">
        <v>70</v>
      </c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97" t="s">
        <v>71</v>
      </c>
      <c r="F36" s="207" t="s">
        <v>45</v>
      </c>
      <c r="G36" s="78"/>
      <c r="H36" s="207" t="s">
        <v>45</v>
      </c>
      <c r="I36" s="11"/>
      <c r="J36" s="281"/>
    </row>
    <row r="37" spans="1:14" s="4" customFormat="1" ht="18" customHeight="1">
      <c r="A37" s="209"/>
      <c r="B37" s="211"/>
      <c r="C37" s="203"/>
      <c r="D37" s="205"/>
      <c r="E37" s="98" t="s">
        <v>72</v>
      </c>
      <c r="F37" s="207"/>
      <c r="G37" s="12"/>
      <c r="H37" s="207"/>
      <c r="I37" s="12"/>
      <c r="J37" s="281"/>
    </row>
    <row r="38" spans="1:14" s="4" customFormat="1" ht="18" customHeight="1">
      <c r="A38" s="209"/>
      <c r="B38" s="211"/>
      <c r="C38" s="203"/>
      <c r="D38" s="205"/>
      <c r="E38" s="98" t="s">
        <v>73</v>
      </c>
      <c r="F38" s="207"/>
      <c r="G38" s="12"/>
      <c r="H38" s="207"/>
      <c r="I38" s="12"/>
      <c r="J38" s="281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/>
      <c r="F39" s="68" t="s">
        <v>74</v>
      </c>
      <c r="G39" s="11"/>
      <c r="H39" s="11"/>
      <c r="I39" s="206" t="s">
        <v>45</v>
      </c>
      <c r="J39" s="280"/>
    </row>
    <row r="40" spans="1:14" s="4" customFormat="1" ht="18" customHeight="1">
      <c r="A40" s="209"/>
      <c r="B40" s="211"/>
      <c r="C40" s="203"/>
      <c r="D40" s="205"/>
      <c r="E40" s="12"/>
      <c r="F40" s="69" t="s">
        <v>75</v>
      </c>
      <c r="G40" s="12"/>
      <c r="H40" s="12"/>
      <c r="I40" s="207"/>
      <c r="J40" s="281"/>
    </row>
    <row r="41" spans="1:14" s="4" customFormat="1" ht="18" customHeight="1">
      <c r="A41" s="209"/>
      <c r="B41" s="211"/>
      <c r="C41" s="203"/>
      <c r="D41" s="205"/>
      <c r="E41" s="12"/>
      <c r="F41" s="69">
        <v>4.5</v>
      </c>
      <c r="G41" s="12"/>
      <c r="H41" s="12"/>
      <c r="I41" s="207"/>
      <c r="J41" s="281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/>
      <c r="G42" s="137" t="s">
        <v>76</v>
      </c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12"/>
      <c r="G43" s="138" t="s">
        <v>55</v>
      </c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12"/>
      <c r="F44" s="12"/>
      <c r="G44" s="138" t="s">
        <v>78</v>
      </c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93" t="s">
        <v>49</v>
      </c>
      <c r="G45" s="139" t="s">
        <v>79</v>
      </c>
      <c r="H45" s="11"/>
      <c r="I45" s="11"/>
      <c r="J45" s="287" t="s">
        <v>66</v>
      </c>
      <c r="L45" s="4" t="s">
        <v>80</v>
      </c>
    </row>
    <row r="46" spans="1:14" s="4" customFormat="1" ht="18" customHeight="1">
      <c r="A46" s="209"/>
      <c r="B46" s="211"/>
      <c r="C46" s="220"/>
      <c r="D46" s="205"/>
      <c r="E46" s="12"/>
      <c r="F46" s="94" t="s">
        <v>52</v>
      </c>
      <c r="G46" s="125" t="s">
        <v>81</v>
      </c>
      <c r="H46" s="12"/>
      <c r="I46" s="12"/>
      <c r="J46" s="288"/>
    </row>
    <row r="47" spans="1:14" s="4" customFormat="1" ht="26.25" customHeight="1">
      <c r="A47" s="209"/>
      <c r="B47" s="211"/>
      <c r="C47" s="220"/>
      <c r="D47" s="205"/>
      <c r="E47" s="12"/>
      <c r="F47" s="94" t="s">
        <v>55</v>
      </c>
      <c r="G47" s="125" t="s">
        <v>67</v>
      </c>
      <c r="H47" s="12"/>
      <c r="I47" s="12"/>
      <c r="J47" s="288"/>
    </row>
    <row r="48" spans="1:14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42" t="s">
        <v>48</v>
      </c>
      <c r="F48" s="11"/>
      <c r="G48" s="11"/>
      <c r="H48" s="11"/>
      <c r="I48" s="99" t="s">
        <v>71</v>
      </c>
      <c r="J48" s="289"/>
    </row>
    <row r="49" spans="1:10" s="4" customFormat="1" ht="18" customHeight="1">
      <c r="A49" s="209"/>
      <c r="B49" s="211"/>
      <c r="C49" s="220"/>
      <c r="D49" s="205"/>
      <c r="E49" s="143" t="s">
        <v>51</v>
      </c>
      <c r="F49" s="12"/>
      <c r="G49" s="12"/>
      <c r="H49" s="12"/>
      <c r="I49" s="98" t="s">
        <v>72</v>
      </c>
      <c r="J49" s="290"/>
    </row>
    <row r="50" spans="1:10" s="4" customFormat="1" ht="18" customHeight="1">
      <c r="A50" s="209"/>
      <c r="B50" s="211"/>
      <c r="C50" s="220"/>
      <c r="D50" s="205"/>
      <c r="E50" s="143" t="s">
        <v>54</v>
      </c>
      <c r="F50" s="12"/>
      <c r="G50" s="12"/>
      <c r="H50" s="12"/>
      <c r="I50" s="98" t="s">
        <v>73</v>
      </c>
      <c r="J50" s="290"/>
    </row>
    <row r="51" spans="1:10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33" t="s">
        <v>50</v>
      </c>
      <c r="F51" s="11"/>
      <c r="G51" s="81" t="s">
        <v>59</v>
      </c>
      <c r="H51" s="11"/>
      <c r="J51" s="283"/>
    </row>
    <row r="52" spans="1:10" s="4" customFormat="1" ht="18" customHeight="1">
      <c r="A52" s="209"/>
      <c r="B52" s="211"/>
      <c r="C52" s="220"/>
      <c r="D52" s="205"/>
      <c r="E52" s="65" t="s">
        <v>82</v>
      </c>
      <c r="F52" s="12"/>
      <c r="G52" s="74" t="s">
        <v>63</v>
      </c>
      <c r="H52" s="12"/>
      <c r="J52" s="284"/>
    </row>
    <row r="53" spans="1:10" s="4" customFormat="1" ht="18" customHeight="1">
      <c r="A53" s="209"/>
      <c r="B53" s="211"/>
      <c r="C53" s="220"/>
      <c r="D53" s="205"/>
      <c r="E53" s="65" t="s">
        <v>83</v>
      </c>
      <c r="F53" s="12"/>
      <c r="G53" s="86" t="s">
        <v>67</v>
      </c>
      <c r="H53" s="12"/>
      <c r="J53" s="284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7" t="s">
        <v>84</v>
      </c>
      <c r="F54" s="187" t="s">
        <v>84</v>
      </c>
      <c r="G54" s="187" t="s">
        <v>84</v>
      </c>
      <c r="H54" s="206" t="s">
        <v>45</v>
      </c>
      <c r="I54" s="206" t="s">
        <v>45</v>
      </c>
      <c r="J54" s="283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84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284"/>
    </row>
    <row r="57" spans="1:10" s="4" customFormat="1" ht="28.5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79" t="s">
        <v>58</v>
      </c>
      <c r="G57" s="11"/>
      <c r="H57" s="144" t="s">
        <v>85</v>
      </c>
      <c r="I57" s="70" t="s">
        <v>60</v>
      </c>
      <c r="J57" s="280"/>
    </row>
    <row r="58" spans="1:10" s="4" customFormat="1" ht="18" customHeight="1">
      <c r="A58" s="209"/>
      <c r="B58" s="211"/>
      <c r="C58" s="220"/>
      <c r="D58" s="205"/>
      <c r="E58" s="12"/>
      <c r="F58" s="72" t="s">
        <v>86</v>
      </c>
      <c r="G58" s="12"/>
      <c r="H58" s="145" t="s">
        <v>87</v>
      </c>
      <c r="I58" s="71" t="s">
        <v>64</v>
      </c>
      <c r="J58" s="281"/>
    </row>
    <row r="59" spans="1:10" s="4" customFormat="1" ht="18" customHeight="1">
      <c r="A59" s="209"/>
      <c r="B59" s="211"/>
      <c r="C59" s="220"/>
      <c r="D59" s="205"/>
      <c r="E59" s="12"/>
      <c r="F59" s="84" t="s">
        <v>55</v>
      </c>
      <c r="G59" s="12"/>
      <c r="H59" s="145" t="s">
        <v>88</v>
      </c>
      <c r="I59" s="71" t="s">
        <v>68</v>
      </c>
      <c r="J59" s="281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/>
      <c r="F60" s="137" t="s">
        <v>76</v>
      </c>
      <c r="H60" s="267" t="s">
        <v>89</v>
      </c>
      <c r="I60" s="11"/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/>
      <c r="F61" s="138" t="s">
        <v>55</v>
      </c>
      <c r="H61" s="268"/>
      <c r="I61" s="12"/>
      <c r="J61" s="224"/>
    </row>
    <row r="62" spans="1:10" s="4" customFormat="1" ht="18" customHeight="1">
      <c r="A62" s="209"/>
      <c r="B62" s="211"/>
      <c r="C62" s="220"/>
      <c r="D62" s="205"/>
      <c r="E62" s="12"/>
      <c r="F62" s="138" t="s">
        <v>78</v>
      </c>
      <c r="H62" s="269"/>
      <c r="I62" s="12"/>
      <c r="J62" s="2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255" t="s">
        <v>90</v>
      </c>
      <c r="G63" s="256"/>
      <c r="H63" s="256"/>
      <c r="I63" s="257"/>
      <c r="J63" s="280"/>
    </row>
    <row r="64" spans="1:10" ht="18" customHeight="1">
      <c r="A64" s="233"/>
      <c r="B64" s="236"/>
      <c r="C64" s="239"/>
      <c r="D64" s="236"/>
      <c r="E64" s="12"/>
      <c r="F64" s="258"/>
      <c r="G64" s="259"/>
      <c r="H64" s="259"/>
      <c r="I64" s="260"/>
      <c r="J64" s="281"/>
    </row>
    <row r="65" spans="1:10" ht="18" customHeight="1">
      <c r="A65" s="234"/>
      <c r="B65" s="237"/>
      <c r="C65" s="240"/>
      <c r="D65" s="237"/>
      <c r="E65" s="13"/>
      <c r="F65" s="261"/>
      <c r="G65" s="262"/>
      <c r="H65" s="262"/>
      <c r="I65" s="263"/>
      <c r="J65" s="282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264" t="s">
        <v>91</v>
      </c>
      <c r="G66" s="11"/>
      <c r="H66" s="11"/>
      <c r="I66" s="11"/>
      <c r="J66" s="280"/>
    </row>
    <row r="67" spans="1:10" ht="18" customHeight="1">
      <c r="A67" s="233"/>
      <c r="B67" s="236"/>
      <c r="C67" s="239"/>
      <c r="D67" s="236"/>
      <c r="E67" s="12"/>
      <c r="F67" s="265"/>
      <c r="G67" s="12"/>
      <c r="H67" s="12"/>
      <c r="I67" s="12"/>
      <c r="J67" s="281"/>
    </row>
    <row r="68" spans="1:10" ht="18" customHeight="1">
      <c r="A68" s="234"/>
      <c r="B68" s="237"/>
      <c r="C68" s="240"/>
      <c r="D68" s="237"/>
      <c r="E68" s="13"/>
      <c r="F68" s="266"/>
      <c r="G68" s="13"/>
      <c r="H68" s="13"/>
      <c r="I68" s="13"/>
      <c r="J68" s="282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11"/>
      <c r="F69" s="11"/>
      <c r="G69" s="11"/>
      <c r="H69" s="11"/>
      <c r="I69" s="11"/>
      <c r="J69" s="280"/>
    </row>
    <row r="70" spans="1:10" ht="18" customHeight="1">
      <c r="A70" s="233"/>
      <c r="B70" s="236"/>
      <c r="C70" s="239"/>
      <c r="D70" s="236"/>
      <c r="E70" s="12"/>
      <c r="F70" s="12"/>
      <c r="G70" s="12"/>
      <c r="H70" s="12"/>
      <c r="I70" s="12"/>
      <c r="J70" s="281"/>
    </row>
    <row r="71" spans="1:10" ht="18" customHeight="1">
      <c r="A71" s="234"/>
      <c r="B71" s="237"/>
      <c r="C71" s="240"/>
      <c r="D71" s="237"/>
      <c r="E71" s="13"/>
      <c r="F71" s="13"/>
      <c r="G71" s="13"/>
      <c r="H71" s="13"/>
      <c r="I71" s="13"/>
      <c r="J71" s="282"/>
    </row>
  </sheetData>
  <mergeCells count="144">
    <mergeCell ref="C69:C71"/>
    <mergeCell ref="D69:D71"/>
    <mergeCell ref="J66:J68"/>
    <mergeCell ref="J69:J71"/>
    <mergeCell ref="A66:A68"/>
    <mergeCell ref="B66:B68"/>
    <mergeCell ref="C66:C68"/>
    <mergeCell ref="D66:D68"/>
    <mergeCell ref="A69:A71"/>
    <mergeCell ref="B69:B71"/>
    <mergeCell ref="F66:F68"/>
    <mergeCell ref="A63:A65"/>
    <mergeCell ref="B63:B65"/>
    <mergeCell ref="C63:C65"/>
    <mergeCell ref="D63:D65"/>
    <mergeCell ref="J63:J65"/>
    <mergeCell ref="A60:A62"/>
    <mergeCell ref="B60:B62"/>
    <mergeCell ref="C60:C62"/>
    <mergeCell ref="D60:D62"/>
    <mergeCell ref="J60:J62"/>
    <mergeCell ref="F63:I65"/>
    <mergeCell ref="H60:H62"/>
    <mergeCell ref="A57:A59"/>
    <mergeCell ref="B57:B59"/>
    <mergeCell ref="C57:C59"/>
    <mergeCell ref="D57:D59"/>
    <mergeCell ref="J57:J59"/>
    <mergeCell ref="A54:A56"/>
    <mergeCell ref="B54:B56"/>
    <mergeCell ref="C54:C56"/>
    <mergeCell ref="D54:D56"/>
    <mergeCell ref="J54:J56"/>
    <mergeCell ref="E54:E56"/>
    <mergeCell ref="F54:F56"/>
    <mergeCell ref="G54:G56"/>
    <mergeCell ref="H54:H56"/>
    <mergeCell ref="I54:I56"/>
    <mergeCell ref="A51:A53"/>
    <mergeCell ref="B51:B53"/>
    <mergeCell ref="C51:C53"/>
    <mergeCell ref="D51:D53"/>
    <mergeCell ref="J51:J53"/>
    <mergeCell ref="A48:A50"/>
    <mergeCell ref="B48:B50"/>
    <mergeCell ref="C48:C50"/>
    <mergeCell ref="D48:D50"/>
    <mergeCell ref="J48:J50"/>
    <mergeCell ref="A45:A47"/>
    <mergeCell ref="B45:B47"/>
    <mergeCell ref="C45:C47"/>
    <mergeCell ref="D45:D47"/>
    <mergeCell ref="J45:J47"/>
    <mergeCell ref="A42:A44"/>
    <mergeCell ref="B42:B44"/>
    <mergeCell ref="C42:C44"/>
    <mergeCell ref="D42:D44"/>
    <mergeCell ref="J42:J44"/>
    <mergeCell ref="A39:A41"/>
    <mergeCell ref="B39:B41"/>
    <mergeCell ref="C39:C41"/>
    <mergeCell ref="D39:D41"/>
    <mergeCell ref="J39:J41"/>
    <mergeCell ref="A36:A38"/>
    <mergeCell ref="B36:B38"/>
    <mergeCell ref="C36:C38"/>
    <mergeCell ref="D36:D38"/>
    <mergeCell ref="J36:J38"/>
    <mergeCell ref="F36:F38"/>
    <mergeCell ref="H36:H38"/>
    <mergeCell ref="I39:I41"/>
    <mergeCell ref="A33:A35"/>
    <mergeCell ref="B33:B35"/>
    <mergeCell ref="C33:C35"/>
    <mergeCell ref="D33:D35"/>
    <mergeCell ref="J33:J35"/>
    <mergeCell ref="M28:N28"/>
    <mergeCell ref="M29:N29"/>
    <mergeCell ref="A30:A32"/>
    <mergeCell ref="B30:B32"/>
    <mergeCell ref="C30:C32"/>
    <mergeCell ref="D30:D32"/>
    <mergeCell ref="J30:J32"/>
    <mergeCell ref="M31:N31"/>
    <mergeCell ref="L24:N24"/>
    <mergeCell ref="M25:N25"/>
    <mergeCell ref="M26:N26"/>
    <mergeCell ref="A27:A29"/>
    <mergeCell ref="B27:B29"/>
    <mergeCell ref="C27:C29"/>
    <mergeCell ref="D27:D29"/>
    <mergeCell ref="J27:J29"/>
    <mergeCell ref="M27:N27"/>
    <mergeCell ref="A24:A26"/>
    <mergeCell ref="B24:B26"/>
    <mergeCell ref="C24:C26"/>
    <mergeCell ref="D24:D26"/>
    <mergeCell ref="J24:J26"/>
    <mergeCell ref="H27:H29"/>
    <mergeCell ref="I27:I29"/>
    <mergeCell ref="A21:A23"/>
    <mergeCell ref="B21:B23"/>
    <mergeCell ref="C21:C23"/>
    <mergeCell ref="D21:D23"/>
    <mergeCell ref="J21:J23"/>
    <mergeCell ref="L16:N17"/>
    <mergeCell ref="A18:A20"/>
    <mergeCell ref="B18:B20"/>
    <mergeCell ref="C18:C20"/>
    <mergeCell ref="D18:D20"/>
    <mergeCell ref="J18:J20"/>
    <mergeCell ref="L19:N20"/>
    <mergeCell ref="A15:A17"/>
    <mergeCell ref="B15:B17"/>
    <mergeCell ref="C15:C17"/>
    <mergeCell ref="D15:D17"/>
    <mergeCell ref="J15:J17"/>
    <mergeCell ref="A12:A14"/>
    <mergeCell ref="B12:B14"/>
    <mergeCell ref="C12:C14"/>
    <mergeCell ref="D12:D14"/>
    <mergeCell ref="J12:J14"/>
    <mergeCell ref="A9:A11"/>
    <mergeCell ref="B9:B11"/>
    <mergeCell ref="C9:C11"/>
    <mergeCell ref="D9:D11"/>
    <mergeCell ref="J9:J11"/>
    <mergeCell ref="E9:E11"/>
    <mergeCell ref="F9:F11"/>
    <mergeCell ref="G9:G11"/>
    <mergeCell ref="H9:H11"/>
    <mergeCell ref="I9:I11"/>
    <mergeCell ref="J3:J5"/>
    <mergeCell ref="A6:A8"/>
    <mergeCell ref="B6:B8"/>
    <mergeCell ref="C6:C8"/>
    <mergeCell ref="D6:D8"/>
    <mergeCell ref="J6:J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2A1E-8698-EE40-826F-FF7347992B26}">
  <sheetPr>
    <pageSetUpPr fitToPage="1"/>
  </sheetPr>
  <dimension ref="A1:P74"/>
  <sheetViews>
    <sheetView topLeftCell="C38" zoomScaleNormal="100" zoomScaleSheetLayoutView="120" workbookViewId="0">
      <selection activeCell="M49" sqref="M49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9" width="12.109375" style="3" customWidth="1"/>
    <col min="10" max="10" width="15.88671875" style="3" customWidth="1"/>
    <col min="11" max="11" width="4.33203125" customWidth="1"/>
    <col min="12" max="12" width="12.33203125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96</v>
      </c>
      <c r="B1" s="194"/>
      <c r="C1" s="194"/>
      <c r="D1" s="194"/>
      <c r="E1" s="194"/>
      <c r="F1" s="194"/>
      <c r="G1" s="194"/>
      <c r="H1" s="194"/>
      <c r="I1" s="194"/>
      <c r="J1" s="146" t="s">
        <v>97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 customHeight="1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07"/>
      <c r="K5" s="9"/>
      <c r="L5" s="12" t="s">
        <v>17</v>
      </c>
      <c r="M5" s="12" t="s">
        <v>18</v>
      </c>
      <c r="N5" s="15"/>
    </row>
    <row r="6" spans="1:16" s="4" customFormat="1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06"/>
      <c r="K6" s="1"/>
      <c r="L6" s="15"/>
      <c r="M6" s="15"/>
      <c r="N6" s="15"/>
    </row>
    <row r="7" spans="1:16" s="4" customFormat="1" ht="14.25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5"/>
      <c r="M7" s="15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"/>
      <c r="L8" s="33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/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07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5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7"/>
      <c r="M15" s="15"/>
      <c r="N15" s="1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245"/>
      <c r="M16" s="245"/>
      <c r="N16" s="245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L17" s="245"/>
      <c r="M17" s="245"/>
      <c r="N17" s="245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06"/>
      <c r="L18" s="17"/>
      <c r="M18" s="15"/>
      <c r="N18" s="15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07"/>
      <c r="L19" s="245"/>
      <c r="M19" s="245"/>
      <c r="N19" s="245"/>
    </row>
    <row r="20" spans="1:14" s="4" customFormat="1">
      <c r="A20" s="209"/>
      <c r="B20" s="211"/>
      <c r="C20" s="203"/>
      <c r="D20" s="205"/>
      <c r="E20" s="12"/>
      <c r="F20" s="12"/>
      <c r="G20" s="12"/>
      <c r="H20" s="12"/>
      <c r="I20" s="12"/>
      <c r="J20" s="207"/>
      <c r="L20" s="245"/>
      <c r="M20" s="245"/>
      <c r="N20" s="245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11"/>
      <c r="H21" s="11"/>
      <c r="I21" s="11"/>
      <c r="J21" s="206"/>
      <c r="L21" s="15"/>
      <c r="M21" s="15"/>
      <c r="N21" s="15"/>
    </row>
    <row r="22" spans="1:14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07"/>
      <c r="L22" s="18"/>
      <c r="M22" s="18"/>
      <c r="N22" s="18"/>
    </row>
    <row r="23" spans="1:14" s="4" customFormat="1" ht="18" customHeight="1">
      <c r="A23" s="209"/>
      <c r="B23" s="211"/>
      <c r="C23" s="203"/>
      <c r="D23" s="205"/>
      <c r="E23" s="12"/>
      <c r="F23" s="12"/>
      <c r="G23" s="12"/>
      <c r="H23" s="12"/>
      <c r="I23" s="12"/>
      <c r="J23" s="207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11"/>
      <c r="G24" s="11"/>
      <c r="H24" s="11"/>
      <c r="I24" s="130" t="s">
        <v>98</v>
      </c>
      <c r="J24" s="206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12"/>
      <c r="F25" s="12"/>
      <c r="G25" s="12"/>
      <c r="H25" s="12"/>
      <c r="I25" s="130" t="s">
        <v>55</v>
      </c>
      <c r="J25" s="207"/>
      <c r="L25" s="4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12"/>
      <c r="F26" s="12"/>
      <c r="G26" s="12"/>
      <c r="H26" s="12"/>
      <c r="I26" s="130" t="s">
        <v>99</v>
      </c>
      <c r="J26" s="207"/>
      <c r="L26" s="45"/>
      <c r="M26" s="176" t="s">
        <v>33</v>
      </c>
      <c r="N26" s="177"/>
    </row>
    <row r="27" spans="1:14" s="4" customFormat="1" ht="25.5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92" t="s">
        <v>100</v>
      </c>
      <c r="F27" s="11"/>
      <c r="G27" s="11"/>
      <c r="H27" s="206" t="s">
        <v>45</v>
      </c>
      <c r="I27" s="206" t="s">
        <v>45</v>
      </c>
      <c r="J27" s="206"/>
      <c r="L27" s="47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92" t="s">
        <v>55</v>
      </c>
      <c r="F28" s="12"/>
      <c r="G28" s="12"/>
      <c r="H28" s="207"/>
      <c r="I28" s="207"/>
      <c r="J28" s="207"/>
      <c r="L28" s="23"/>
      <c r="M28" s="178" t="s">
        <v>36</v>
      </c>
      <c r="N28" s="179"/>
    </row>
    <row r="29" spans="1:14" s="4" customFormat="1">
      <c r="A29" s="209"/>
      <c r="B29" s="211"/>
      <c r="C29" s="203"/>
      <c r="D29" s="205"/>
      <c r="E29" s="92" t="s">
        <v>101</v>
      </c>
      <c r="F29" s="12"/>
      <c r="G29" s="12"/>
      <c r="H29" s="207"/>
      <c r="I29" s="207"/>
      <c r="J29" s="207"/>
      <c r="L29" s="48"/>
      <c r="M29" s="180" t="s">
        <v>37</v>
      </c>
      <c r="N29" s="181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1"/>
      <c r="F30" s="294" t="s">
        <v>102</v>
      </c>
      <c r="G30" s="116" t="s">
        <v>50</v>
      </c>
      <c r="H30" s="11"/>
      <c r="I30" s="93" t="s">
        <v>103</v>
      </c>
      <c r="J30" s="206"/>
      <c r="L30" s="22"/>
      <c r="M30" s="25" t="s">
        <v>38</v>
      </c>
      <c r="N30" s="26"/>
    </row>
    <row r="31" spans="1:14" s="4" customFormat="1" ht="18" customHeight="1">
      <c r="A31" s="209"/>
      <c r="B31" s="211"/>
      <c r="C31" s="203"/>
      <c r="D31" s="205"/>
      <c r="E31" s="12"/>
      <c r="F31" s="295"/>
      <c r="G31" s="117" t="s">
        <v>104</v>
      </c>
      <c r="H31" s="12"/>
      <c r="I31" s="94" t="s">
        <v>105</v>
      </c>
      <c r="J31" s="207"/>
      <c r="L31" s="27"/>
      <c r="M31" s="182" t="s">
        <v>39</v>
      </c>
      <c r="N31" s="183"/>
    </row>
    <row r="32" spans="1:14" s="4" customFormat="1" ht="14.25" customHeight="1">
      <c r="A32" s="209"/>
      <c r="B32" s="211"/>
      <c r="C32" s="203"/>
      <c r="D32" s="205"/>
      <c r="E32" s="12"/>
      <c r="F32" s="295"/>
      <c r="G32" s="159" t="s">
        <v>106</v>
      </c>
      <c r="H32" s="12"/>
      <c r="I32" s="94">
        <v>2.2999999999999998</v>
      </c>
      <c r="J32" s="207"/>
      <c r="L32" s="28"/>
      <c r="M32" s="15"/>
      <c r="N32" s="15"/>
    </row>
    <row r="33" spans="1:14" s="4" customFormat="1" ht="27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60" t="s">
        <v>107</v>
      </c>
      <c r="F33" s="90"/>
      <c r="G33" s="89"/>
      <c r="H33" s="158" t="s">
        <v>108</v>
      </c>
      <c r="I33" s="95" t="s">
        <v>109</v>
      </c>
      <c r="J33" s="206"/>
      <c r="L33" s="15" t="s">
        <v>61</v>
      </c>
      <c r="M33" s="15"/>
      <c r="N33" s="29"/>
    </row>
    <row r="34" spans="1:14" s="4" customFormat="1" ht="18" customHeight="1">
      <c r="A34" s="213"/>
      <c r="B34" s="215"/>
      <c r="C34" s="218"/>
      <c r="D34" s="215"/>
      <c r="E34" s="160" t="s">
        <v>110</v>
      </c>
      <c r="F34" s="91"/>
      <c r="G34" s="89"/>
      <c r="H34" s="158" t="s">
        <v>111</v>
      </c>
      <c r="I34" s="96" t="s">
        <v>112</v>
      </c>
      <c r="J34" s="207"/>
      <c r="L34" s="4" t="s">
        <v>65</v>
      </c>
      <c r="M34" s="4" t="s">
        <v>66</v>
      </c>
      <c r="N34" s="32"/>
    </row>
    <row r="35" spans="1:14" s="4" customFormat="1" ht="18" customHeight="1">
      <c r="A35" s="213"/>
      <c r="B35" s="216"/>
      <c r="C35" s="218"/>
      <c r="D35" s="216"/>
      <c r="E35" s="160" t="s">
        <v>55</v>
      </c>
      <c r="F35" s="91"/>
      <c r="G35" s="89"/>
      <c r="H35" s="158" t="s">
        <v>113</v>
      </c>
      <c r="I35" s="96" t="s">
        <v>114</v>
      </c>
      <c r="J35" s="207"/>
      <c r="L35" s="4" t="s">
        <v>69</v>
      </c>
      <c r="M35" s="4" t="s">
        <v>70</v>
      </c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139" t="s">
        <v>107</v>
      </c>
      <c r="F36" s="206" t="s">
        <v>45</v>
      </c>
      <c r="G36" s="78"/>
      <c r="H36" s="206" t="s">
        <v>45</v>
      </c>
      <c r="I36" s="11"/>
      <c r="J36" s="206"/>
    </row>
    <row r="37" spans="1:14" s="4" customFormat="1" ht="18" customHeight="1">
      <c r="A37" s="209"/>
      <c r="B37" s="211"/>
      <c r="C37" s="203"/>
      <c r="D37" s="205"/>
      <c r="E37" s="139" t="s">
        <v>110</v>
      </c>
      <c r="F37" s="207"/>
      <c r="G37" s="12"/>
      <c r="H37" s="207"/>
      <c r="I37" s="12"/>
      <c r="J37" s="207"/>
    </row>
    <row r="38" spans="1:14" s="4" customFormat="1" ht="18" customHeight="1">
      <c r="A38" s="209"/>
      <c r="B38" s="211"/>
      <c r="C38" s="203"/>
      <c r="D38" s="205"/>
      <c r="E38" s="139" t="s">
        <v>55</v>
      </c>
      <c r="F38" s="207"/>
      <c r="G38" s="12"/>
      <c r="H38" s="207"/>
      <c r="I38" s="12"/>
      <c r="J38" s="207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 t="s">
        <v>115</v>
      </c>
      <c r="F39" s="95" t="s">
        <v>76</v>
      </c>
      <c r="G39" s="11"/>
      <c r="H39" s="11"/>
      <c r="I39" s="206" t="s">
        <v>45</v>
      </c>
      <c r="J39" s="206"/>
    </row>
    <row r="40" spans="1:14" s="4" customFormat="1" ht="18" customHeight="1">
      <c r="A40" s="209"/>
      <c r="B40" s="211"/>
      <c r="C40" s="203"/>
      <c r="D40" s="205"/>
      <c r="E40" s="12" t="s">
        <v>55</v>
      </c>
      <c r="F40" s="96" t="s">
        <v>25</v>
      </c>
      <c r="G40" s="12"/>
      <c r="H40" s="12"/>
      <c r="I40" s="207"/>
      <c r="J40" s="207"/>
    </row>
    <row r="41" spans="1:14" s="4" customFormat="1" ht="18" customHeight="1">
      <c r="A41" s="209"/>
      <c r="B41" s="211"/>
      <c r="C41" s="203"/>
      <c r="D41" s="205"/>
      <c r="E41" s="12" t="s">
        <v>116</v>
      </c>
      <c r="F41" s="96" t="s">
        <v>117</v>
      </c>
      <c r="G41" s="12"/>
      <c r="H41" s="12"/>
      <c r="I41" s="207"/>
      <c r="J41" s="207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 t="s">
        <v>118</v>
      </c>
      <c r="G42" s="140" t="s">
        <v>119</v>
      </c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12"/>
      <c r="G43" s="141" t="s">
        <v>120</v>
      </c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12"/>
      <c r="F44" s="12"/>
      <c r="G44" s="141" t="s">
        <v>111</v>
      </c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93" t="s">
        <v>103</v>
      </c>
      <c r="H45" s="11"/>
      <c r="I45" s="49"/>
      <c r="J45" s="221"/>
    </row>
    <row r="46" spans="1:14" s="4" customFormat="1" ht="18" customHeight="1">
      <c r="A46" s="209"/>
      <c r="B46" s="211"/>
      <c r="C46" s="220"/>
      <c r="D46" s="205"/>
      <c r="E46" s="12"/>
      <c r="F46" s="12"/>
      <c r="G46" s="93" t="s">
        <v>105</v>
      </c>
      <c r="H46" s="12"/>
      <c r="I46" s="50"/>
      <c r="J46" s="222"/>
    </row>
    <row r="47" spans="1:14" s="4" customFormat="1" ht="32.25" customHeight="1">
      <c r="A47" s="209"/>
      <c r="B47" s="211"/>
      <c r="C47" s="220"/>
      <c r="D47" s="205"/>
      <c r="E47" s="12"/>
      <c r="F47" s="12"/>
      <c r="G47" s="93" t="s">
        <v>121</v>
      </c>
      <c r="H47" s="12"/>
      <c r="I47" s="50"/>
      <c r="J47" s="222"/>
    </row>
    <row r="48" spans="1:14" s="4" customFormat="1" ht="27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92" t="s">
        <v>100</v>
      </c>
      <c r="F48" s="11"/>
      <c r="G48" s="296" t="s">
        <v>122</v>
      </c>
      <c r="H48" s="11"/>
      <c r="I48" s="147" t="s">
        <v>123</v>
      </c>
      <c r="J48" s="246" t="s">
        <v>122</v>
      </c>
    </row>
    <row r="49" spans="1:10" s="4" customFormat="1" ht="18" customHeight="1">
      <c r="A49" s="209"/>
      <c r="B49" s="211"/>
      <c r="C49" s="220"/>
      <c r="D49" s="205"/>
      <c r="E49" s="92" t="s">
        <v>55</v>
      </c>
      <c r="F49" s="12"/>
      <c r="G49" s="297"/>
      <c r="H49" s="12"/>
      <c r="I49" s="148" t="s">
        <v>124</v>
      </c>
      <c r="J49" s="247"/>
    </row>
    <row r="50" spans="1:10" s="4" customFormat="1" ht="15" customHeight="1">
      <c r="A50" s="209"/>
      <c r="B50" s="211"/>
      <c r="C50" s="220"/>
      <c r="D50" s="205"/>
      <c r="E50" s="92" t="s">
        <v>101</v>
      </c>
      <c r="F50" s="12"/>
      <c r="G50" s="298"/>
      <c r="H50" s="12"/>
      <c r="I50" s="149" t="s">
        <v>25</v>
      </c>
      <c r="J50" s="247"/>
    </row>
    <row r="51" spans="1:10" s="4" customFormat="1" ht="23.25" customHeight="1">
      <c r="A51" s="208">
        <f>A48+1</f>
        <v>17</v>
      </c>
      <c r="B51" s="210">
        <f>D48+3</f>
        <v>46167</v>
      </c>
      <c r="C51" s="219" t="s">
        <v>12</v>
      </c>
      <c r="D51" s="299">
        <f>B51+4</f>
        <v>46171</v>
      </c>
      <c r="E51" s="139" t="s">
        <v>107</v>
      </c>
      <c r="F51" s="303" t="s">
        <v>102</v>
      </c>
      <c r="G51" s="11"/>
      <c r="H51" s="90"/>
      <c r="I51" s="116" t="s">
        <v>50</v>
      </c>
      <c r="J51" s="301"/>
    </row>
    <row r="52" spans="1:10" s="4" customFormat="1" ht="18" customHeight="1">
      <c r="A52" s="209"/>
      <c r="B52" s="211"/>
      <c r="C52" s="220"/>
      <c r="D52" s="300"/>
      <c r="E52" s="139" t="s">
        <v>110</v>
      </c>
      <c r="F52" s="304"/>
      <c r="G52" s="12"/>
      <c r="H52" s="91"/>
      <c r="I52" s="117" t="s">
        <v>125</v>
      </c>
      <c r="J52" s="302"/>
    </row>
    <row r="53" spans="1:10" s="4" customFormat="1" ht="18" customHeight="1">
      <c r="A53" s="209"/>
      <c r="B53" s="211"/>
      <c r="C53" s="220"/>
      <c r="D53" s="300"/>
      <c r="E53" s="139" t="s">
        <v>55</v>
      </c>
      <c r="F53" s="304"/>
      <c r="G53" s="12"/>
      <c r="H53" s="91"/>
      <c r="I53" s="117" t="s">
        <v>106</v>
      </c>
      <c r="J53" s="302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8" t="s">
        <v>84</v>
      </c>
      <c r="F54" s="187" t="s">
        <v>84</v>
      </c>
      <c r="G54" s="187" t="s">
        <v>84</v>
      </c>
      <c r="H54" s="206" t="s">
        <v>45</v>
      </c>
      <c r="I54" s="207" t="s">
        <v>45</v>
      </c>
      <c r="J54" s="229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26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226"/>
    </row>
    <row r="57" spans="1:10" s="4" customFormat="1" ht="18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F57" s="95" t="s">
        <v>76</v>
      </c>
      <c r="H57" s="150" t="s">
        <v>108</v>
      </c>
      <c r="I57" s="95" t="s">
        <v>109</v>
      </c>
      <c r="J57" s="206"/>
    </row>
    <row r="58" spans="1:10" s="4" customFormat="1" ht="18" customHeight="1">
      <c r="A58" s="209"/>
      <c r="B58" s="211"/>
      <c r="C58" s="220"/>
      <c r="D58" s="205"/>
      <c r="E58" s="12"/>
      <c r="F58" s="96" t="s">
        <v>25</v>
      </c>
      <c r="G58" s="12"/>
      <c r="H58" s="150" t="s">
        <v>111</v>
      </c>
      <c r="I58" s="96" t="s">
        <v>112</v>
      </c>
      <c r="J58" s="207"/>
    </row>
    <row r="59" spans="1:10" s="4" customFormat="1" ht="18" customHeight="1">
      <c r="A59" s="209"/>
      <c r="B59" s="211"/>
      <c r="C59" s="220"/>
      <c r="D59" s="205"/>
      <c r="F59" s="96" t="s">
        <v>117</v>
      </c>
      <c r="H59" s="150" t="s">
        <v>113</v>
      </c>
      <c r="I59" s="96" t="s">
        <v>114</v>
      </c>
      <c r="J59" s="207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 t="s">
        <v>115</v>
      </c>
      <c r="F60" s="130" t="s">
        <v>98</v>
      </c>
      <c r="H60" s="305" t="s">
        <v>89</v>
      </c>
      <c r="I60" s="11"/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 t="s">
        <v>55</v>
      </c>
      <c r="F61" s="130" t="s">
        <v>55</v>
      </c>
      <c r="H61" s="306"/>
      <c r="I61" s="12"/>
      <c r="J61" s="224"/>
    </row>
    <row r="62" spans="1:10" s="4" customFormat="1" ht="18" customHeight="1">
      <c r="A62" s="209"/>
      <c r="B62" s="211"/>
      <c r="C62" s="220"/>
      <c r="D62" s="205"/>
      <c r="E62" s="12" t="s">
        <v>116</v>
      </c>
      <c r="F62" s="130" t="s">
        <v>126</v>
      </c>
      <c r="H62" s="307"/>
      <c r="I62" s="13"/>
      <c r="J62" s="2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49"/>
      <c r="F63" s="11"/>
      <c r="G63" s="49"/>
      <c r="H63" s="11"/>
      <c r="I63" s="11"/>
      <c r="J63" s="206"/>
    </row>
    <row r="64" spans="1:10" ht="18" customHeight="1">
      <c r="A64" s="233"/>
      <c r="B64" s="236"/>
      <c r="C64" s="239"/>
      <c r="D64" s="236"/>
      <c r="E64" s="50"/>
      <c r="F64" s="12"/>
      <c r="G64" s="50"/>
      <c r="H64" s="12"/>
      <c r="I64" s="12"/>
      <c r="J64" s="207"/>
    </row>
    <row r="65" spans="1:10" ht="18" customHeight="1">
      <c r="A65" s="234"/>
      <c r="B65" s="237"/>
      <c r="C65" s="240"/>
      <c r="D65" s="237"/>
      <c r="E65" s="50"/>
      <c r="F65" s="12"/>
      <c r="G65" s="50"/>
      <c r="H65" s="13"/>
      <c r="I65" s="13"/>
      <c r="J65" s="241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264" t="s">
        <v>91</v>
      </c>
      <c r="G66" s="11"/>
      <c r="H66" s="11"/>
      <c r="I66" s="11"/>
      <c r="J66" s="206"/>
    </row>
    <row r="67" spans="1:10" ht="18" customHeight="1">
      <c r="A67" s="233"/>
      <c r="B67" s="236"/>
      <c r="C67" s="239"/>
      <c r="D67" s="236"/>
      <c r="E67" s="12"/>
      <c r="F67" s="265"/>
      <c r="G67" s="12"/>
      <c r="H67" s="12"/>
      <c r="I67" s="12"/>
      <c r="J67" s="207"/>
    </row>
    <row r="68" spans="1:10" ht="18" customHeight="1">
      <c r="A68" s="234"/>
      <c r="B68" s="237"/>
      <c r="C68" s="240"/>
      <c r="D68" s="237"/>
      <c r="E68" s="13"/>
      <c r="F68" s="266"/>
      <c r="G68" s="13"/>
      <c r="H68" s="13"/>
      <c r="I68" s="13"/>
      <c r="J68" s="241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11"/>
      <c r="F69" s="11"/>
      <c r="G69" s="11"/>
      <c r="H69" s="11"/>
      <c r="I69" s="11"/>
      <c r="J69" s="206"/>
    </row>
    <row r="70" spans="1:10" ht="18" customHeight="1">
      <c r="A70" s="233"/>
      <c r="B70" s="236"/>
      <c r="C70" s="239"/>
      <c r="D70" s="236"/>
      <c r="E70" s="12"/>
      <c r="F70" s="12"/>
      <c r="G70" s="12"/>
      <c r="H70" s="12"/>
      <c r="I70" s="12"/>
      <c r="J70" s="207"/>
    </row>
    <row r="71" spans="1:10" ht="18" customHeight="1">
      <c r="A71" s="234"/>
      <c r="B71" s="237"/>
      <c r="C71" s="240"/>
      <c r="D71" s="237"/>
      <c r="E71" s="13"/>
      <c r="F71" s="13"/>
      <c r="G71" s="13"/>
      <c r="H71" s="13"/>
      <c r="I71" s="13"/>
      <c r="J71" s="241"/>
    </row>
    <row r="72" spans="1:10" ht="15" customHeight="1">
      <c r="A72" s="41"/>
      <c r="E72"/>
      <c r="F72"/>
      <c r="G72"/>
      <c r="H72"/>
      <c r="I72"/>
      <c r="J72"/>
    </row>
    <row r="73" spans="1:10" ht="15" customHeight="1">
      <c r="A73" s="41"/>
      <c r="E73"/>
      <c r="F73"/>
      <c r="G73"/>
      <c r="H73"/>
      <c r="I73"/>
      <c r="J73"/>
    </row>
    <row r="74" spans="1:10" ht="15" customHeight="1">
      <c r="A74" s="41"/>
      <c r="E74"/>
      <c r="F74"/>
      <c r="G74"/>
      <c r="H74"/>
      <c r="I74"/>
      <c r="J74"/>
    </row>
  </sheetData>
  <mergeCells count="146">
    <mergeCell ref="J69:J71"/>
    <mergeCell ref="A63:A65"/>
    <mergeCell ref="B63:B65"/>
    <mergeCell ref="C63:C65"/>
    <mergeCell ref="D63:D65"/>
    <mergeCell ref="J63:J65"/>
    <mergeCell ref="A66:A68"/>
    <mergeCell ref="B66:B68"/>
    <mergeCell ref="C66:C68"/>
    <mergeCell ref="D66:D68"/>
    <mergeCell ref="A69:A71"/>
    <mergeCell ref="B69:B71"/>
    <mergeCell ref="C69:C71"/>
    <mergeCell ref="D69:D71"/>
    <mergeCell ref="J66:J68"/>
    <mergeCell ref="F66:F68"/>
    <mergeCell ref="A60:A62"/>
    <mergeCell ref="B60:B62"/>
    <mergeCell ref="C60:C62"/>
    <mergeCell ref="D60:D62"/>
    <mergeCell ref="J60:J62"/>
    <mergeCell ref="A57:A59"/>
    <mergeCell ref="B57:B59"/>
    <mergeCell ref="C57:C59"/>
    <mergeCell ref="D57:D59"/>
    <mergeCell ref="J57:J59"/>
    <mergeCell ref="H60:H62"/>
    <mergeCell ref="A54:A56"/>
    <mergeCell ref="B54:B56"/>
    <mergeCell ref="C54:C56"/>
    <mergeCell ref="D54:D56"/>
    <mergeCell ref="J54:J56"/>
    <mergeCell ref="A51:A53"/>
    <mergeCell ref="B51:B53"/>
    <mergeCell ref="C51:C53"/>
    <mergeCell ref="D51:D53"/>
    <mergeCell ref="J51:J53"/>
    <mergeCell ref="E54:E56"/>
    <mergeCell ref="F54:F56"/>
    <mergeCell ref="G54:G56"/>
    <mergeCell ref="H54:H56"/>
    <mergeCell ref="I54:I56"/>
    <mergeCell ref="F51:F53"/>
    <mergeCell ref="A48:A50"/>
    <mergeCell ref="B48:B50"/>
    <mergeCell ref="C48:C50"/>
    <mergeCell ref="D48:D50"/>
    <mergeCell ref="J48:J50"/>
    <mergeCell ref="A45:A47"/>
    <mergeCell ref="B45:B47"/>
    <mergeCell ref="C45:C47"/>
    <mergeCell ref="D45:D47"/>
    <mergeCell ref="J45:J47"/>
    <mergeCell ref="G48:G50"/>
    <mergeCell ref="A42:A44"/>
    <mergeCell ref="B42:B44"/>
    <mergeCell ref="C42:C44"/>
    <mergeCell ref="D42:D44"/>
    <mergeCell ref="J42:J44"/>
    <mergeCell ref="A39:A41"/>
    <mergeCell ref="B39:B41"/>
    <mergeCell ref="C39:C41"/>
    <mergeCell ref="D39:D41"/>
    <mergeCell ref="J39:J41"/>
    <mergeCell ref="I39:I41"/>
    <mergeCell ref="A30:A32"/>
    <mergeCell ref="B30:B32"/>
    <mergeCell ref="C30:C32"/>
    <mergeCell ref="D30:D32"/>
    <mergeCell ref="J30:J32"/>
    <mergeCell ref="M31:N31"/>
    <mergeCell ref="A36:A38"/>
    <mergeCell ref="B36:B38"/>
    <mergeCell ref="C36:C38"/>
    <mergeCell ref="D36:D38"/>
    <mergeCell ref="J36:J38"/>
    <mergeCell ref="A33:A35"/>
    <mergeCell ref="B33:B35"/>
    <mergeCell ref="C33:C35"/>
    <mergeCell ref="D33:D35"/>
    <mergeCell ref="J33:J35"/>
    <mergeCell ref="F36:F38"/>
    <mergeCell ref="H36:H38"/>
    <mergeCell ref="F30:F32"/>
    <mergeCell ref="L24:N24"/>
    <mergeCell ref="M25:N25"/>
    <mergeCell ref="M26:N26"/>
    <mergeCell ref="A27:A29"/>
    <mergeCell ref="B27:B29"/>
    <mergeCell ref="C27:C29"/>
    <mergeCell ref="D27:D29"/>
    <mergeCell ref="J27:J29"/>
    <mergeCell ref="M27:N27"/>
    <mergeCell ref="A24:A26"/>
    <mergeCell ref="B24:B26"/>
    <mergeCell ref="C24:C26"/>
    <mergeCell ref="D24:D26"/>
    <mergeCell ref="J24:J26"/>
    <mergeCell ref="M28:N28"/>
    <mergeCell ref="M29:N29"/>
    <mergeCell ref="H27:H29"/>
    <mergeCell ref="I27:I29"/>
    <mergeCell ref="A21:A23"/>
    <mergeCell ref="B21:B23"/>
    <mergeCell ref="C21:C23"/>
    <mergeCell ref="D21:D23"/>
    <mergeCell ref="J21:J23"/>
    <mergeCell ref="L16:N17"/>
    <mergeCell ref="A18:A20"/>
    <mergeCell ref="B18:B20"/>
    <mergeCell ref="C18:C20"/>
    <mergeCell ref="D18:D20"/>
    <mergeCell ref="J18:J20"/>
    <mergeCell ref="L19:N20"/>
    <mergeCell ref="A15:A17"/>
    <mergeCell ref="B15:B17"/>
    <mergeCell ref="C15:C17"/>
    <mergeCell ref="D15:D17"/>
    <mergeCell ref="J15:J17"/>
    <mergeCell ref="A12:A14"/>
    <mergeCell ref="B12:B14"/>
    <mergeCell ref="C12:C14"/>
    <mergeCell ref="D12:D14"/>
    <mergeCell ref="J12:J14"/>
    <mergeCell ref="A9:A11"/>
    <mergeCell ref="B9:B11"/>
    <mergeCell ref="C9:C11"/>
    <mergeCell ref="D9:D11"/>
    <mergeCell ref="J9:J11"/>
    <mergeCell ref="E9:E11"/>
    <mergeCell ref="F9:F11"/>
    <mergeCell ref="G9:G11"/>
    <mergeCell ref="H9:H11"/>
    <mergeCell ref="I9:I11"/>
    <mergeCell ref="J3:J5"/>
    <mergeCell ref="A6:A8"/>
    <mergeCell ref="B6:B8"/>
    <mergeCell ref="C6:C8"/>
    <mergeCell ref="D6:D8"/>
    <mergeCell ref="J6:J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1AC7-20FB-044D-A9BD-232824480DDE}">
  <sheetPr>
    <pageSetUpPr fitToPage="1"/>
  </sheetPr>
  <dimension ref="A1:P71"/>
  <sheetViews>
    <sheetView tabSelected="1" topLeftCell="A42" zoomScaleNormal="100" zoomScaleSheetLayoutView="120" workbookViewId="0">
      <selection activeCell="L45" sqref="L45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9" width="12.109375" style="3" customWidth="1"/>
    <col min="10" max="10" width="16.5546875" style="3" customWidth="1"/>
    <col min="11" max="11" width="4.33203125" customWidth="1"/>
    <col min="12" max="12" width="12.33203125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127</v>
      </c>
      <c r="B1" s="194"/>
      <c r="C1" s="194"/>
      <c r="D1" s="194"/>
      <c r="E1" s="194"/>
      <c r="F1" s="194"/>
      <c r="G1" s="194"/>
      <c r="H1" s="194"/>
      <c r="I1" s="194"/>
      <c r="J1" s="146" t="s">
        <v>93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 customHeight="1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07"/>
      <c r="K5" s="9"/>
      <c r="L5" s="12" t="s">
        <v>17</v>
      </c>
      <c r="M5" s="12" t="s">
        <v>18</v>
      </c>
      <c r="N5" s="15"/>
    </row>
    <row r="6" spans="1:16" s="4" customFormat="1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06"/>
      <c r="K6" s="1"/>
      <c r="L6" s="15"/>
      <c r="M6" s="15"/>
      <c r="N6" s="15"/>
    </row>
    <row r="7" spans="1:16" s="4" customFormat="1" ht="14.25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5"/>
      <c r="M7" s="15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"/>
      <c r="L8" s="33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/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07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5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7"/>
      <c r="M15" s="15"/>
      <c r="N15" s="1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245"/>
      <c r="M16" s="245"/>
      <c r="N16" s="245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L17" s="245"/>
      <c r="M17" s="245"/>
      <c r="N17" s="245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06"/>
      <c r="L18" s="17"/>
      <c r="M18" s="15"/>
      <c r="N18" s="15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07"/>
      <c r="L19" s="245"/>
      <c r="M19" s="245"/>
      <c r="N19" s="245"/>
    </row>
    <row r="20" spans="1:14" s="4" customFormat="1">
      <c r="A20" s="209"/>
      <c r="B20" s="211"/>
      <c r="C20" s="203"/>
      <c r="D20" s="205"/>
      <c r="E20" s="12"/>
      <c r="F20" s="12"/>
      <c r="G20" s="12"/>
      <c r="H20" s="12"/>
      <c r="I20" s="12"/>
      <c r="J20" s="207"/>
      <c r="L20" s="245"/>
      <c r="M20" s="245"/>
      <c r="N20" s="245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11"/>
      <c r="H21" s="11"/>
      <c r="I21" s="11"/>
      <c r="J21" s="206"/>
      <c r="L21" s="15"/>
      <c r="M21" s="15"/>
      <c r="N21" s="15"/>
    </row>
    <row r="22" spans="1:14" s="4" customFormat="1" ht="18" customHeight="1">
      <c r="A22" s="209"/>
      <c r="B22" s="211"/>
      <c r="C22" s="203"/>
      <c r="D22" s="205"/>
      <c r="E22" s="12"/>
      <c r="F22" s="12"/>
      <c r="G22" s="12"/>
      <c r="H22" s="12"/>
      <c r="I22" s="12"/>
      <c r="J22" s="207"/>
      <c r="L22" s="18"/>
      <c r="M22" s="18"/>
      <c r="N22" s="18"/>
    </row>
    <row r="23" spans="1:14" s="4" customFormat="1" ht="18" customHeight="1">
      <c r="A23" s="209"/>
      <c r="B23" s="211"/>
      <c r="C23" s="203"/>
      <c r="D23" s="205"/>
      <c r="E23" s="12"/>
      <c r="F23" s="12"/>
      <c r="G23" s="12"/>
      <c r="H23" s="12"/>
      <c r="I23" s="12"/>
      <c r="J23" s="207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11"/>
      <c r="H24" s="11"/>
      <c r="I24" s="130" t="s">
        <v>98</v>
      </c>
      <c r="J24" s="206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12"/>
      <c r="F25" s="12"/>
      <c r="H25" s="12"/>
      <c r="I25" s="130" t="s">
        <v>55</v>
      </c>
      <c r="J25" s="207"/>
      <c r="L25" s="4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12"/>
      <c r="F26" s="12"/>
      <c r="H26" s="12"/>
      <c r="I26" s="130" t="s">
        <v>99</v>
      </c>
      <c r="J26" s="207"/>
      <c r="L26" s="45"/>
      <c r="M26" s="176" t="s">
        <v>33</v>
      </c>
      <c r="N26" s="177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92" t="s">
        <v>100</v>
      </c>
      <c r="F27" s="11"/>
      <c r="G27" s="11"/>
      <c r="H27" s="206" t="s">
        <v>45</v>
      </c>
      <c r="I27" s="206" t="s">
        <v>45</v>
      </c>
      <c r="J27" s="206"/>
      <c r="L27" s="47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92" t="s">
        <v>55</v>
      </c>
      <c r="F28" s="12"/>
      <c r="G28" s="12"/>
      <c r="H28" s="207"/>
      <c r="I28" s="207"/>
      <c r="J28" s="207"/>
      <c r="L28" s="23"/>
      <c r="M28" s="178" t="s">
        <v>36</v>
      </c>
      <c r="N28" s="179"/>
    </row>
    <row r="29" spans="1:14" s="4" customFormat="1">
      <c r="A29" s="209"/>
      <c r="B29" s="211"/>
      <c r="C29" s="203"/>
      <c r="D29" s="205"/>
      <c r="E29" s="92" t="s">
        <v>101</v>
      </c>
      <c r="F29" s="12"/>
      <c r="G29" s="12"/>
      <c r="H29" s="207"/>
      <c r="I29" s="207"/>
      <c r="J29" s="207"/>
      <c r="L29" s="48"/>
      <c r="M29" s="180" t="s">
        <v>37</v>
      </c>
      <c r="N29" s="181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1"/>
      <c r="F30" s="294" t="s">
        <v>102</v>
      </c>
      <c r="G30" s="116" t="s">
        <v>50</v>
      </c>
      <c r="H30" s="11"/>
      <c r="I30" s="93" t="s">
        <v>103</v>
      </c>
      <c r="J30" s="206"/>
      <c r="L30" s="22"/>
      <c r="M30" s="25" t="s">
        <v>38</v>
      </c>
      <c r="N30" s="26"/>
    </row>
    <row r="31" spans="1:14" s="4" customFormat="1" ht="18" customHeight="1">
      <c r="A31" s="209"/>
      <c r="B31" s="211"/>
      <c r="C31" s="203"/>
      <c r="D31" s="205"/>
      <c r="E31" s="12"/>
      <c r="F31" s="295"/>
      <c r="G31" s="117" t="s">
        <v>104</v>
      </c>
      <c r="H31" s="12"/>
      <c r="I31" s="93" t="s">
        <v>105</v>
      </c>
      <c r="J31" s="207"/>
      <c r="L31" s="27"/>
      <c r="M31" s="182" t="s">
        <v>39</v>
      </c>
      <c r="N31" s="183"/>
    </row>
    <row r="32" spans="1:14" s="4" customFormat="1" ht="18" customHeight="1">
      <c r="A32" s="209"/>
      <c r="B32" s="211"/>
      <c r="C32" s="203"/>
      <c r="D32" s="205"/>
      <c r="E32" s="12"/>
      <c r="F32" s="295"/>
      <c r="G32" s="117" t="s">
        <v>106</v>
      </c>
      <c r="H32" s="12"/>
      <c r="I32" s="93">
        <v>3.4</v>
      </c>
      <c r="J32" s="207"/>
      <c r="L32" s="28"/>
      <c r="M32" s="15"/>
      <c r="N32" s="15"/>
    </row>
    <row r="33" spans="1:14" s="4" customFormat="1" ht="22.5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60" t="s">
        <v>107</v>
      </c>
      <c r="F33" s="11"/>
      <c r="G33" s="150" t="s">
        <v>128</v>
      </c>
      <c r="H33" s="16"/>
      <c r="I33" s="95" t="s">
        <v>109</v>
      </c>
      <c r="J33" s="206"/>
      <c r="L33" s="15" t="s">
        <v>61</v>
      </c>
      <c r="M33" s="15"/>
      <c r="N33" s="29"/>
    </row>
    <row r="34" spans="1:14" s="4" customFormat="1" ht="26.25" customHeight="1">
      <c r="A34" s="213"/>
      <c r="B34" s="215"/>
      <c r="C34" s="218"/>
      <c r="D34" s="215"/>
      <c r="E34" s="160" t="s">
        <v>110</v>
      </c>
      <c r="F34" s="12"/>
      <c r="G34" s="150" t="s">
        <v>129</v>
      </c>
      <c r="H34" s="16"/>
      <c r="I34" s="96" t="s">
        <v>130</v>
      </c>
      <c r="J34" s="207"/>
      <c r="L34" s="4" t="s">
        <v>65</v>
      </c>
      <c r="M34" s="4" t="s">
        <v>66</v>
      </c>
      <c r="N34" s="32"/>
    </row>
    <row r="35" spans="1:14" s="4" customFormat="1" ht="18" customHeight="1">
      <c r="A35" s="213"/>
      <c r="B35" s="216"/>
      <c r="C35" s="218"/>
      <c r="D35" s="216"/>
      <c r="E35" s="160" t="s">
        <v>55</v>
      </c>
      <c r="F35" s="12"/>
      <c r="G35" s="150" t="s">
        <v>131</v>
      </c>
      <c r="H35" s="16"/>
      <c r="I35" s="96" t="s">
        <v>114</v>
      </c>
      <c r="J35" s="207"/>
      <c r="L35" s="4" t="s">
        <v>69</v>
      </c>
      <c r="M35" s="4" t="s">
        <v>70</v>
      </c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139" t="s">
        <v>107</v>
      </c>
      <c r="F36" s="206" t="s">
        <v>45</v>
      </c>
      <c r="G36" s="11"/>
      <c r="H36" s="206" t="s">
        <v>45</v>
      </c>
      <c r="I36" s="11"/>
      <c r="J36" s="206"/>
    </row>
    <row r="37" spans="1:14" s="4" customFormat="1" ht="18" customHeight="1">
      <c r="A37" s="209"/>
      <c r="B37" s="211"/>
      <c r="C37" s="203"/>
      <c r="D37" s="205"/>
      <c r="E37" s="139" t="s">
        <v>110</v>
      </c>
      <c r="F37" s="207"/>
      <c r="G37" s="12"/>
      <c r="H37" s="207"/>
      <c r="I37" s="12"/>
      <c r="J37" s="207"/>
    </row>
    <row r="38" spans="1:14" s="4" customFormat="1" ht="18" customHeight="1">
      <c r="A38" s="209"/>
      <c r="B38" s="211"/>
      <c r="C38" s="203"/>
      <c r="D38" s="205"/>
      <c r="E38" s="139" t="s">
        <v>55</v>
      </c>
      <c r="F38" s="207"/>
      <c r="G38" s="12"/>
      <c r="H38" s="207"/>
      <c r="I38" s="12"/>
      <c r="J38" s="207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 t="s">
        <v>115</v>
      </c>
      <c r="F39" s="95" t="s">
        <v>76</v>
      </c>
      <c r="G39" s="11"/>
      <c r="H39" s="11"/>
      <c r="I39" s="206" t="s">
        <v>45</v>
      </c>
      <c r="J39" s="206"/>
    </row>
    <row r="40" spans="1:14" s="4" customFormat="1" ht="18" customHeight="1">
      <c r="A40" s="209"/>
      <c r="B40" s="211"/>
      <c r="C40" s="203"/>
      <c r="D40" s="205"/>
      <c r="E40" s="12" t="s">
        <v>55</v>
      </c>
      <c r="F40" s="95" t="s">
        <v>25</v>
      </c>
      <c r="G40" s="12"/>
      <c r="H40" s="12"/>
      <c r="I40" s="207"/>
      <c r="J40" s="207"/>
    </row>
    <row r="41" spans="1:14" s="4" customFormat="1" ht="18" customHeight="1">
      <c r="A41" s="209"/>
      <c r="B41" s="211"/>
      <c r="C41" s="203"/>
      <c r="D41" s="205"/>
      <c r="E41" s="12" t="s">
        <v>116</v>
      </c>
      <c r="F41" s="95" t="s">
        <v>117</v>
      </c>
      <c r="G41" s="12"/>
      <c r="H41" s="12"/>
      <c r="I41" s="207"/>
      <c r="J41" s="207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49"/>
      <c r="F42" s="49"/>
      <c r="G42" s="140" t="s">
        <v>119</v>
      </c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49"/>
      <c r="F43" s="50"/>
      <c r="G43" s="141" t="s">
        <v>120</v>
      </c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49"/>
      <c r="F44" s="50"/>
      <c r="G44" s="141" t="s">
        <v>111</v>
      </c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93" t="s">
        <v>103</v>
      </c>
      <c r="H45" s="11"/>
      <c r="I45" s="49"/>
      <c r="J45" s="221"/>
    </row>
    <row r="46" spans="1:14" s="4" customFormat="1" ht="18" customHeight="1">
      <c r="A46" s="209"/>
      <c r="B46" s="211"/>
      <c r="C46" s="220"/>
      <c r="D46" s="205"/>
      <c r="E46" s="12"/>
      <c r="F46" s="12"/>
      <c r="G46" s="93" t="s">
        <v>105</v>
      </c>
      <c r="H46" s="12"/>
      <c r="I46" s="49"/>
      <c r="J46" s="222"/>
    </row>
    <row r="47" spans="1:14" s="4" customFormat="1" ht="51" customHeight="1">
      <c r="A47" s="209"/>
      <c r="B47" s="211"/>
      <c r="C47" s="220"/>
      <c r="D47" s="205"/>
      <c r="E47" s="12"/>
      <c r="F47" s="12"/>
      <c r="G47" s="93" t="s">
        <v>132</v>
      </c>
      <c r="H47" s="12"/>
      <c r="I47" s="49"/>
      <c r="J47" s="222"/>
    </row>
    <row r="48" spans="1:14" s="4" customFormat="1" ht="23.25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92" t="s">
        <v>100</v>
      </c>
      <c r="F48" s="11"/>
      <c r="G48" s="296" t="s">
        <v>122</v>
      </c>
      <c r="H48" s="11"/>
      <c r="I48" s="102" t="s">
        <v>123</v>
      </c>
      <c r="J48" s="246"/>
    </row>
    <row r="49" spans="1:10" s="4" customFormat="1" ht="18" customHeight="1">
      <c r="A49" s="209"/>
      <c r="B49" s="211"/>
      <c r="C49" s="220"/>
      <c r="D49" s="205"/>
      <c r="E49" s="92" t="s">
        <v>55</v>
      </c>
      <c r="F49" s="12"/>
      <c r="G49" s="297"/>
      <c r="H49" s="12"/>
      <c r="I49" s="103" t="s">
        <v>124</v>
      </c>
      <c r="J49" s="247"/>
    </row>
    <row r="50" spans="1:10" s="4" customFormat="1" ht="18" customHeight="1">
      <c r="A50" s="209"/>
      <c r="B50" s="211"/>
      <c r="C50" s="220"/>
      <c r="D50" s="205"/>
      <c r="E50" s="92" t="s">
        <v>101</v>
      </c>
      <c r="F50" s="12"/>
      <c r="G50" s="298"/>
      <c r="H50" s="12"/>
      <c r="I50" s="104" t="s">
        <v>25</v>
      </c>
      <c r="J50" s="247"/>
    </row>
    <row r="51" spans="1:10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39" t="s">
        <v>107</v>
      </c>
      <c r="F51" s="294" t="s">
        <v>102</v>
      </c>
      <c r="G51" s="11"/>
      <c r="H51" s="11"/>
      <c r="I51" s="116" t="s">
        <v>50</v>
      </c>
      <c r="J51" s="229"/>
    </row>
    <row r="52" spans="1:10" s="4" customFormat="1" ht="18" customHeight="1">
      <c r="A52" s="209"/>
      <c r="B52" s="211"/>
      <c r="C52" s="220"/>
      <c r="D52" s="205"/>
      <c r="E52" s="139" t="s">
        <v>133</v>
      </c>
      <c r="F52" s="295"/>
      <c r="G52" s="12"/>
      <c r="H52" s="12"/>
      <c r="I52" s="117" t="s">
        <v>125</v>
      </c>
      <c r="J52" s="226"/>
    </row>
    <row r="53" spans="1:10" s="4" customFormat="1" ht="18" customHeight="1">
      <c r="A53" s="209"/>
      <c r="B53" s="211"/>
      <c r="C53" s="220"/>
      <c r="D53" s="205"/>
      <c r="E53" s="139" t="s">
        <v>55</v>
      </c>
      <c r="F53" s="295"/>
      <c r="G53" s="12"/>
      <c r="H53" s="12"/>
      <c r="I53" s="117" t="s">
        <v>106</v>
      </c>
      <c r="J53" s="226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7" t="s">
        <v>84</v>
      </c>
      <c r="F54" s="187" t="s">
        <v>84</v>
      </c>
      <c r="G54" s="187" t="s">
        <v>84</v>
      </c>
      <c r="H54" s="206" t="s">
        <v>45</v>
      </c>
      <c r="I54" s="206" t="s">
        <v>45</v>
      </c>
      <c r="J54" s="229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26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226"/>
    </row>
    <row r="57" spans="1:10" s="4" customFormat="1" ht="25.5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95" t="s">
        <v>76</v>
      </c>
      <c r="G57" s="150" t="s">
        <v>128</v>
      </c>
      <c r="H57" s="16"/>
      <c r="I57" s="95" t="s">
        <v>109</v>
      </c>
      <c r="J57" s="206"/>
    </row>
    <row r="58" spans="1:10" s="4" customFormat="1" ht="24" customHeight="1">
      <c r="A58" s="209"/>
      <c r="B58" s="211"/>
      <c r="C58" s="220"/>
      <c r="D58" s="205"/>
      <c r="E58" s="12"/>
      <c r="F58" s="95" t="s">
        <v>25</v>
      </c>
      <c r="G58" s="140" t="s">
        <v>129</v>
      </c>
      <c r="H58" s="16"/>
      <c r="I58" s="96" t="s">
        <v>134</v>
      </c>
      <c r="J58" s="207"/>
    </row>
    <row r="59" spans="1:10" s="4" customFormat="1" ht="18" customHeight="1">
      <c r="A59" s="209"/>
      <c r="B59" s="211"/>
      <c r="C59" s="220"/>
      <c r="D59" s="205"/>
      <c r="E59" s="12"/>
      <c r="F59" s="95" t="s">
        <v>117</v>
      </c>
      <c r="G59" s="140" t="s">
        <v>135</v>
      </c>
      <c r="H59" s="16"/>
      <c r="I59" s="96" t="s">
        <v>114</v>
      </c>
      <c r="J59" s="207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 t="s">
        <v>115</v>
      </c>
      <c r="F60" s="130" t="s">
        <v>98</v>
      </c>
      <c r="G60" s="49"/>
      <c r="H60" s="305" t="s">
        <v>89</v>
      </c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 t="s">
        <v>55</v>
      </c>
      <c r="F61" s="130" t="s">
        <v>55</v>
      </c>
      <c r="G61" s="49"/>
      <c r="H61" s="306"/>
      <c r="I61" s="12"/>
      <c r="J61" s="224"/>
    </row>
    <row r="62" spans="1:10" s="4" customFormat="1" ht="18" customHeight="1">
      <c r="A62" s="209"/>
      <c r="B62" s="211"/>
      <c r="C62" s="220"/>
      <c r="D62" s="205"/>
      <c r="E62" s="12" t="s">
        <v>116</v>
      </c>
      <c r="F62" s="130" t="s">
        <v>126</v>
      </c>
      <c r="G62" s="49"/>
      <c r="H62" s="307"/>
      <c r="I62" s="12"/>
      <c r="J62" s="2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11"/>
      <c r="G63" s="11"/>
      <c r="H63" s="11"/>
      <c r="I63" s="11"/>
      <c r="J63" s="206"/>
    </row>
    <row r="64" spans="1:10" ht="18" customHeight="1">
      <c r="A64" s="233"/>
      <c r="B64" s="236"/>
      <c r="C64" s="239"/>
      <c r="D64" s="236"/>
      <c r="E64" s="12"/>
      <c r="F64" s="12"/>
      <c r="G64" s="12"/>
      <c r="H64" s="12"/>
      <c r="I64" s="12"/>
      <c r="J64" s="207"/>
    </row>
    <row r="65" spans="1:10" ht="18" customHeight="1">
      <c r="A65" s="234"/>
      <c r="B65" s="237"/>
      <c r="C65" s="240"/>
      <c r="D65" s="237"/>
      <c r="E65" s="13"/>
      <c r="F65" s="12"/>
      <c r="G65" s="13"/>
      <c r="H65" s="13"/>
      <c r="I65" s="13"/>
      <c r="J65" s="241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264" t="s">
        <v>91</v>
      </c>
      <c r="G66" s="11"/>
      <c r="H66" s="11"/>
      <c r="I66" s="11"/>
      <c r="J66" s="206"/>
    </row>
    <row r="67" spans="1:10" ht="18" customHeight="1">
      <c r="A67" s="233"/>
      <c r="B67" s="236"/>
      <c r="C67" s="239"/>
      <c r="D67" s="236"/>
      <c r="E67" s="12"/>
      <c r="F67" s="265"/>
      <c r="G67" s="12"/>
      <c r="H67" s="12"/>
      <c r="I67" s="12"/>
      <c r="J67" s="207"/>
    </row>
    <row r="68" spans="1:10" ht="18" customHeight="1">
      <c r="A68" s="234"/>
      <c r="B68" s="237"/>
      <c r="C68" s="240"/>
      <c r="D68" s="237"/>
      <c r="E68" s="13"/>
      <c r="F68" s="266"/>
      <c r="G68" s="13"/>
      <c r="H68" s="13"/>
      <c r="I68" s="13"/>
      <c r="J68" s="241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11"/>
      <c r="F69" s="11"/>
      <c r="G69" s="11"/>
      <c r="H69" s="11"/>
      <c r="I69" s="11"/>
      <c r="J69" s="206"/>
    </row>
    <row r="70" spans="1:10" ht="18" customHeight="1">
      <c r="A70" s="233"/>
      <c r="B70" s="236"/>
      <c r="C70" s="239"/>
      <c r="D70" s="236"/>
      <c r="E70" s="12"/>
      <c r="F70" s="12"/>
      <c r="G70" s="12"/>
      <c r="H70" s="12"/>
      <c r="I70" s="12"/>
      <c r="J70" s="207"/>
    </row>
    <row r="71" spans="1:10" ht="18" customHeight="1">
      <c r="A71" s="234"/>
      <c r="B71" s="237"/>
      <c r="C71" s="240"/>
      <c r="D71" s="237"/>
      <c r="E71" s="13"/>
      <c r="F71" s="13"/>
      <c r="G71" s="13"/>
      <c r="H71" s="13"/>
      <c r="I71" s="13"/>
      <c r="J71" s="241"/>
    </row>
  </sheetData>
  <mergeCells count="146">
    <mergeCell ref="C69:C71"/>
    <mergeCell ref="D69:D71"/>
    <mergeCell ref="J66:J68"/>
    <mergeCell ref="J69:J71"/>
    <mergeCell ref="A66:A68"/>
    <mergeCell ref="B66:B68"/>
    <mergeCell ref="C66:C68"/>
    <mergeCell ref="D66:D68"/>
    <mergeCell ref="A69:A71"/>
    <mergeCell ref="B69:B71"/>
    <mergeCell ref="F66:F68"/>
    <mergeCell ref="A63:A65"/>
    <mergeCell ref="B63:B65"/>
    <mergeCell ref="C63:C65"/>
    <mergeCell ref="D63:D65"/>
    <mergeCell ref="J63:J65"/>
    <mergeCell ref="A60:A62"/>
    <mergeCell ref="B60:B62"/>
    <mergeCell ref="C60:C62"/>
    <mergeCell ref="D60:D62"/>
    <mergeCell ref="J60:J62"/>
    <mergeCell ref="H60:H62"/>
    <mergeCell ref="A57:A59"/>
    <mergeCell ref="B57:B59"/>
    <mergeCell ref="C57:C59"/>
    <mergeCell ref="D57:D59"/>
    <mergeCell ref="J57:J59"/>
    <mergeCell ref="A54:A56"/>
    <mergeCell ref="B54:B56"/>
    <mergeCell ref="C54:C56"/>
    <mergeCell ref="D54:D56"/>
    <mergeCell ref="J54:J56"/>
    <mergeCell ref="E54:E56"/>
    <mergeCell ref="F54:F56"/>
    <mergeCell ref="G54:G56"/>
    <mergeCell ref="H54:H56"/>
    <mergeCell ref="I54:I56"/>
    <mergeCell ref="A51:A53"/>
    <mergeCell ref="B51:B53"/>
    <mergeCell ref="C51:C53"/>
    <mergeCell ref="D51:D53"/>
    <mergeCell ref="J51:J53"/>
    <mergeCell ref="A48:A50"/>
    <mergeCell ref="B48:B50"/>
    <mergeCell ref="C48:C50"/>
    <mergeCell ref="D48:D50"/>
    <mergeCell ref="J48:J50"/>
    <mergeCell ref="G48:G50"/>
    <mergeCell ref="F51:F53"/>
    <mergeCell ref="A45:A47"/>
    <mergeCell ref="B45:B47"/>
    <mergeCell ref="C45:C47"/>
    <mergeCell ref="D45:D47"/>
    <mergeCell ref="J45:J47"/>
    <mergeCell ref="A42:A44"/>
    <mergeCell ref="B42:B44"/>
    <mergeCell ref="C42:C44"/>
    <mergeCell ref="D42:D44"/>
    <mergeCell ref="J42:J44"/>
    <mergeCell ref="A39:A41"/>
    <mergeCell ref="B39:B41"/>
    <mergeCell ref="C39:C41"/>
    <mergeCell ref="D39:D41"/>
    <mergeCell ref="J39:J41"/>
    <mergeCell ref="A36:A38"/>
    <mergeCell ref="B36:B38"/>
    <mergeCell ref="C36:C38"/>
    <mergeCell ref="D36:D38"/>
    <mergeCell ref="J36:J38"/>
    <mergeCell ref="F36:F38"/>
    <mergeCell ref="H36:H38"/>
    <mergeCell ref="I39:I41"/>
    <mergeCell ref="A33:A35"/>
    <mergeCell ref="B33:B35"/>
    <mergeCell ref="C33:C35"/>
    <mergeCell ref="D33:D35"/>
    <mergeCell ref="J33:J35"/>
    <mergeCell ref="M28:N28"/>
    <mergeCell ref="M29:N29"/>
    <mergeCell ref="A30:A32"/>
    <mergeCell ref="B30:B32"/>
    <mergeCell ref="C30:C32"/>
    <mergeCell ref="D30:D32"/>
    <mergeCell ref="J30:J32"/>
    <mergeCell ref="M31:N31"/>
    <mergeCell ref="F30:F32"/>
    <mergeCell ref="L24:N24"/>
    <mergeCell ref="M25:N25"/>
    <mergeCell ref="M26:N26"/>
    <mergeCell ref="A27:A29"/>
    <mergeCell ref="B27:B29"/>
    <mergeCell ref="C27:C29"/>
    <mergeCell ref="D27:D29"/>
    <mergeCell ref="J27:J29"/>
    <mergeCell ref="M27:N27"/>
    <mergeCell ref="A24:A26"/>
    <mergeCell ref="B24:B26"/>
    <mergeCell ref="C24:C26"/>
    <mergeCell ref="D24:D26"/>
    <mergeCell ref="J24:J26"/>
    <mergeCell ref="H27:H29"/>
    <mergeCell ref="I27:I29"/>
    <mergeCell ref="A21:A23"/>
    <mergeCell ref="B21:B23"/>
    <mergeCell ref="C21:C23"/>
    <mergeCell ref="D21:D23"/>
    <mergeCell ref="J21:J23"/>
    <mergeCell ref="L16:N17"/>
    <mergeCell ref="A18:A20"/>
    <mergeCell ref="B18:B20"/>
    <mergeCell ref="C18:C20"/>
    <mergeCell ref="D18:D20"/>
    <mergeCell ref="J18:J20"/>
    <mergeCell ref="L19:N20"/>
    <mergeCell ref="A15:A17"/>
    <mergeCell ref="B15:B17"/>
    <mergeCell ref="C15:C17"/>
    <mergeCell ref="D15:D17"/>
    <mergeCell ref="J15:J17"/>
    <mergeCell ref="A12:A14"/>
    <mergeCell ref="B12:B14"/>
    <mergeCell ref="C12:C14"/>
    <mergeCell ref="D12:D14"/>
    <mergeCell ref="J12:J14"/>
    <mergeCell ref="A9:A11"/>
    <mergeCell ref="B9:B11"/>
    <mergeCell ref="C9:C11"/>
    <mergeCell ref="D9:D11"/>
    <mergeCell ref="J9:J11"/>
    <mergeCell ref="E9:E11"/>
    <mergeCell ref="F9:F11"/>
    <mergeCell ref="G9:G11"/>
    <mergeCell ref="H9:H11"/>
    <mergeCell ref="I9:I11"/>
    <mergeCell ref="J3:J5"/>
    <mergeCell ref="A6:A8"/>
    <mergeCell ref="B6:B8"/>
    <mergeCell ref="C6:C8"/>
    <mergeCell ref="D6:D8"/>
    <mergeCell ref="J6:J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2BF2-5909-CB4C-806F-B4CEA9DC36D6}">
  <sheetPr>
    <pageSetUpPr fitToPage="1"/>
  </sheetPr>
  <dimension ref="A1:P71"/>
  <sheetViews>
    <sheetView topLeftCell="E126" zoomScaleNormal="100" zoomScaleSheetLayoutView="120" workbookViewId="0">
      <selection activeCell="I45" sqref="I45:I47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7" width="12.109375" style="3" customWidth="1"/>
    <col min="8" max="8" width="19.5546875" style="3" customWidth="1"/>
    <col min="9" max="9" width="12.109375" style="3" customWidth="1"/>
    <col min="10" max="10" width="17" style="3" customWidth="1"/>
    <col min="11" max="11" width="4.33203125" customWidth="1"/>
    <col min="12" max="12" width="12.33203125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136</v>
      </c>
      <c r="B1" s="194"/>
      <c r="C1" s="194"/>
      <c r="D1" s="194"/>
      <c r="E1" s="194"/>
      <c r="F1" s="194"/>
      <c r="G1" s="194"/>
      <c r="H1" s="194"/>
      <c r="I1" s="194"/>
      <c r="J1" s="146" t="s">
        <v>137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 customHeight="1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07"/>
      <c r="K5" s="9"/>
      <c r="L5" s="12" t="s">
        <v>17</v>
      </c>
      <c r="M5" s="12" t="s">
        <v>18</v>
      </c>
      <c r="N5" s="15"/>
    </row>
    <row r="6" spans="1:16" s="4" customFormat="1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06"/>
      <c r="K6" s="1"/>
      <c r="L6" s="15"/>
      <c r="M6" s="15"/>
      <c r="N6" s="15"/>
    </row>
    <row r="7" spans="1:16" s="4" customFormat="1" ht="14.25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5"/>
      <c r="M7" s="15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"/>
      <c r="L8" s="33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/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07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5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7"/>
      <c r="M15" s="15"/>
      <c r="N15" s="1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245"/>
      <c r="M16" s="245"/>
      <c r="N16" s="245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L17" s="245"/>
      <c r="M17" s="245"/>
      <c r="N17" s="245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308" t="s">
        <v>138</v>
      </c>
      <c r="F18" s="308" t="s">
        <v>138</v>
      </c>
      <c r="G18" s="11"/>
      <c r="H18" s="11"/>
      <c r="I18" s="11"/>
      <c r="J18" s="206"/>
      <c r="L18" s="17"/>
      <c r="M18" s="15"/>
      <c r="N18" s="15"/>
    </row>
    <row r="19" spans="1:14" s="4" customFormat="1" ht="18" customHeight="1">
      <c r="A19" s="209"/>
      <c r="B19" s="211"/>
      <c r="C19" s="203"/>
      <c r="D19" s="205"/>
      <c r="E19" s="309"/>
      <c r="F19" s="309"/>
      <c r="G19" s="12"/>
      <c r="H19" s="12"/>
      <c r="I19" s="12"/>
      <c r="J19" s="207"/>
      <c r="L19" s="245"/>
      <c r="M19" s="245"/>
      <c r="N19" s="245"/>
    </row>
    <row r="20" spans="1:14" s="4" customFormat="1">
      <c r="A20" s="209"/>
      <c r="B20" s="211"/>
      <c r="C20" s="203"/>
      <c r="D20" s="205"/>
      <c r="E20" s="309"/>
      <c r="F20" s="309"/>
      <c r="G20" s="12"/>
      <c r="H20" s="12"/>
      <c r="I20" s="12"/>
      <c r="J20" s="207"/>
      <c r="L20" s="245"/>
      <c r="M20" s="245"/>
      <c r="N20" s="245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99">
        <f t="shared" si="0"/>
        <v>46101</v>
      </c>
      <c r="E21" s="132"/>
      <c r="F21" s="131"/>
      <c r="G21" s="105"/>
      <c r="H21" s="11"/>
      <c r="I21" s="11"/>
      <c r="J21" s="206"/>
      <c r="L21" s="15"/>
      <c r="M21" s="15"/>
      <c r="N21" s="15"/>
    </row>
    <row r="22" spans="1:14" s="4" customFormat="1" ht="18" customHeight="1">
      <c r="A22" s="209"/>
      <c r="B22" s="211"/>
      <c r="C22" s="203"/>
      <c r="D22" s="300"/>
      <c r="E22" s="132"/>
      <c r="F22" s="131"/>
      <c r="G22" s="106"/>
      <c r="H22" s="12"/>
      <c r="I22" s="12"/>
      <c r="J22" s="207"/>
      <c r="L22" s="18"/>
      <c r="M22" s="18"/>
      <c r="N22" s="18"/>
    </row>
    <row r="23" spans="1:14" s="4" customFormat="1" ht="18" customHeight="1">
      <c r="A23" s="209"/>
      <c r="B23" s="211"/>
      <c r="C23" s="203"/>
      <c r="D23" s="300"/>
      <c r="E23" s="132"/>
      <c r="F23" s="131"/>
      <c r="G23" s="106"/>
      <c r="H23" s="12"/>
      <c r="I23" s="12"/>
      <c r="J23" s="207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78"/>
      <c r="F24" s="78"/>
      <c r="G24" s="11"/>
      <c r="H24" s="112" t="s">
        <v>139</v>
      </c>
      <c r="I24" s="11"/>
      <c r="J24" s="206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12"/>
      <c r="F25" s="12"/>
      <c r="G25" s="12"/>
      <c r="H25" s="113" t="s">
        <v>124</v>
      </c>
      <c r="I25" s="12"/>
      <c r="J25" s="207"/>
      <c r="L25" s="4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12"/>
      <c r="F26" s="12"/>
      <c r="G26" s="12"/>
      <c r="H26" s="113" t="s">
        <v>140</v>
      </c>
      <c r="I26" s="12"/>
      <c r="J26" s="207"/>
      <c r="L26" s="45"/>
      <c r="M26" s="176" t="s">
        <v>33</v>
      </c>
      <c r="N26" s="177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101" t="s">
        <v>141</v>
      </c>
      <c r="F27" s="126" t="s">
        <v>142</v>
      </c>
      <c r="G27" s="11"/>
      <c r="H27" s="206" t="s">
        <v>45</v>
      </c>
      <c r="I27" s="206" t="s">
        <v>45</v>
      </c>
      <c r="J27" s="206"/>
      <c r="L27" s="47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100" t="s">
        <v>140</v>
      </c>
      <c r="F28" s="126" t="s">
        <v>110</v>
      </c>
      <c r="G28" s="12"/>
      <c r="H28" s="207"/>
      <c r="I28" s="207"/>
      <c r="J28" s="207"/>
      <c r="L28" s="23"/>
      <c r="M28" s="178" t="s">
        <v>36</v>
      </c>
      <c r="N28" s="179"/>
    </row>
    <row r="29" spans="1:14" s="4" customFormat="1">
      <c r="A29" s="209"/>
      <c r="B29" s="211"/>
      <c r="C29" s="203"/>
      <c r="D29" s="205"/>
      <c r="E29" s="100" t="s">
        <v>99</v>
      </c>
      <c r="F29" s="125" t="s">
        <v>55</v>
      </c>
      <c r="G29" s="12"/>
      <c r="H29" s="207"/>
      <c r="I29" s="207"/>
      <c r="J29" s="207"/>
      <c r="L29" s="48"/>
      <c r="M29" s="180" t="s">
        <v>37</v>
      </c>
      <c r="N29" s="181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23" t="s">
        <v>143</v>
      </c>
      <c r="F30" s="11"/>
      <c r="G30" s="95" t="s">
        <v>144</v>
      </c>
      <c r="H30" s="11"/>
      <c r="I30" s="11"/>
      <c r="J30" s="206"/>
      <c r="L30" s="22"/>
      <c r="M30" s="25" t="s">
        <v>38</v>
      </c>
      <c r="N30" s="26"/>
    </row>
    <row r="31" spans="1:14" s="4" customFormat="1" ht="18" customHeight="1">
      <c r="A31" s="209"/>
      <c r="B31" s="211"/>
      <c r="C31" s="203"/>
      <c r="D31" s="205"/>
      <c r="E31" s="121" t="s">
        <v>145</v>
      </c>
      <c r="F31" s="12"/>
      <c r="G31" s="96" t="s">
        <v>146</v>
      </c>
      <c r="H31" s="12"/>
      <c r="I31" s="12"/>
      <c r="J31" s="207"/>
      <c r="L31" s="127"/>
      <c r="M31" s="310" t="s">
        <v>39</v>
      </c>
      <c r="N31" s="311"/>
    </row>
    <row r="32" spans="1:14" s="4" customFormat="1" ht="18" customHeight="1">
      <c r="A32" s="209"/>
      <c r="B32" s="211"/>
      <c r="C32" s="203"/>
      <c r="D32" s="205"/>
      <c r="E32" s="123" t="s">
        <v>147</v>
      </c>
      <c r="F32" s="12"/>
      <c r="G32" s="118" t="s">
        <v>55</v>
      </c>
      <c r="H32" s="12"/>
      <c r="I32" s="12"/>
      <c r="J32" s="207"/>
      <c r="L32" s="128"/>
      <c r="M32" s="129"/>
      <c r="N32" s="129"/>
    </row>
    <row r="33" spans="1:14" s="4" customFormat="1" ht="18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1"/>
      <c r="F33" s="93" t="s">
        <v>49</v>
      </c>
      <c r="G33" s="115" t="s">
        <v>148</v>
      </c>
      <c r="H33" s="110" t="s">
        <v>149</v>
      </c>
      <c r="I33" s="11"/>
      <c r="J33" s="206"/>
      <c r="L33" s="17"/>
      <c r="M33" s="15"/>
      <c r="N33" s="29"/>
    </row>
    <row r="34" spans="1:14" s="4" customFormat="1" ht="18" customHeight="1">
      <c r="A34" s="213"/>
      <c r="B34" s="215"/>
      <c r="C34" s="218"/>
      <c r="D34" s="215"/>
      <c r="E34" s="12"/>
      <c r="F34" s="94" t="s">
        <v>150</v>
      </c>
      <c r="G34" s="115" t="s">
        <v>151</v>
      </c>
      <c r="H34" s="111" t="s">
        <v>55</v>
      </c>
      <c r="I34" s="12"/>
      <c r="J34" s="207"/>
      <c r="L34" s="32"/>
      <c r="M34" s="32"/>
      <c r="N34" s="32"/>
    </row>
    <row r="35" spans="1:14" s="4" customFormat="1" ht="18" customHeight="1">
      <c r="A35" s="213"/>
      <c r="B35" s="216"/>
      <c r="C35" s="218"/>
      <c r="D35" s="216"/>
      <c r="E35" s="12"/>
      <c r="F35" s="94" t="s">
        <v>55</v>
      </c>
      <c r="G35" s="115" t="s">
        <v>152</v>
      </c>
      <c r="H35" s="111" t="s">
        <v>153</v>
      </c>
      <c r="I35" s="12"/>
      <c r="J35" s="207"/>
      <c r="L35" s="15" t="s">
        <v>61</v>
      </c>
      <c r="M35" s="15"/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99" t="s">
        <v>71</v>
      </c>
      <c r="F36" s="206" t="s">
        <v>45</v>
      </c>
      <c r="G36" s="11"/>
      <c r="H36" s="206" t="s">
        <v>45</v>
      </c>
      <c r="I36" s="11"/>
      <c r="J36" s="206"/>
      <c r="L36" s="4" t="s">
        <v>65</v>
      </c>
      <c r="M36" s="4" t="s">
        <v>66</v>
      </c>
    </row>
    <row r="37" spans="1:14" s="4" customFormat="1" ht="18" customHeight="1">
      <c r="A37" s="209"/>
      <c r="B37" s="211"/>
      <c r="C37" s="203"/>
      <c r="D37" s="205"/>
      <c r="E37" s="98" t="s">
        <v>72</v>
      </c>
      <c r="F37" s="207"/>
      <c r="G37" s="12"/>
      <c r="H37" s="207"/>
      <c r="I37" s="12"/>
      <c r="J37" s="207"/>
      <c r="L37" s="4" t="s">
        <v>69</v>
      </c>
      <c r="M37" s="4" t="s">
        <v>70</v>
      </c>
    </row>
    <row r="38" spans="1:14" s="4" customFormat="1" ht="18" customHeight="1">
      <c r="A38" s="209"/>
      <c r="B38" s="211"/>
      <c r="C38" s="203"/>
      <c r="D38" s="205"/>
      <c r="E38" s="98" t="s">
        <v>73</v>
      </c>
      <c r="F38" s="207"/>
      <c r="G38" s="12"/>
      <c r="H38" s="207"/>
      <c r="I38" s="12"/>
      <c r="J38" s="207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 t="s">
        <v>107</v>
      </c>
      <c r="F39" s="11"/>
      <c r="G39" s="11"/>
      <c r="H39" s="11"/>
      <c r="I39" s="206" t="s">
        <v>45</v>
      </c>
      <c r="J39" s="206"/>
    </row>
    <row r="40" spans="1:14" s="4" customFormat="1" ht="18" customHeight="1">
      <c r="A40" s="209"/>
      <c r="B40" s="211"/>
      <c r="C40" s="203"/>
      <c r="D40" s="205"/>
      <c r="E40" s="12" t="s">
        <v>124</v>
      </c>
      <c r="F40" s="12"/>
      <c r="G40" s="12"/>
      <c r="H40" s="12"/>
      <c r="I40" s="207"/>
      <c r="J40" s="207"/>
    </row>
    <row r="41" spans="1:14" s="4" customFormat="1" ht="18" customHeight="1">
      <c r="A41" s="209"/>
      <c r="B41" s="211"/>
      <c r="C41" s="203"/>
      <c r="D41" s="205"/>
      <c r="E41" s="12" t="s">
        <v>25</v>
      </c>
      <c r="F41" s="12"/>
      <c r="G41" s="12"/>
      <c r="H41" s="12"/>
      <c r="I41" s="207"/>
      <c r="J41" s="207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/>
      <c r="G42" s="11"/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12"/>
      <c r="G43" s="12"/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12"/>
      <c r="F44" s="12"/>
      <c r="G44" s="12"/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102" t="s">
        <v>154</v>
      </c>
      <c r="H45" s="112" t="s">
        <v>139</v>
      </c>
      <c r="I45" s="99" t="s">
        <v>71</v>
      </c>
      <c r="J45" s="221"/>
      <c r="L45" s="4" t="s">
        <v>80</v>
      </c>
    </row>
    <row r="46" spans="1:14" s="4" customFormat="1" ht="18" customHeight="1">
      <c r="A46" s="209"/>
      <c r="B46" s="211"/>
      <c r="C46" s="220"/>
      <c r="D46" s="205"/>
      <c r="E46" s="12"/>
      <c r="F46" s="12"/>
      <c r="G46" s="103" t="s">
        <v>155</v>
      </c>
      <c r="H46" s="113" t="s">
        <v>124</v>
      </c>
      <c r="I46" s="98">
        <v>4.5</v>
      </c>
      <c r="J46" s="222"/>
    </row>
    <row r="47" spans="1:14" s="4" customFormat="1" ht="18" customHeight="1">
      <c r="A47" s="209"/>
      <c r="B47" s="211"/>
      <c r="C47" s="220"/>
      <c r="D47" s="205"/>
      <c r="E47" s="12"/>
      <c r="F47" s="12"/>
      <c r="G47" s="104" t="s">
        <v>156</v>
      </c>
      <c r="H47" s="113" t="s">
        <v>140</v>
      </c>
      <c r="I47" s="98" t="s">
        <v>73</v>
      </c>
      <c r="J47" s="222"/>
    </row>
    <row r="48" spans="1:14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23" t="s">
        <v>143</v>
      </c>
      <c r="F48" s="126" t="s">
        <v>142</v>
      </c>
      <c r="G48" s="11"/>
      <c r="H48" s="105"/>
      <c r="I48" s="116" t="s">
        <v>119</v>
      </c>
      <c r="J48" s="246"/>
    </row>
    <row r="49" spans="1:10" s="4" customFormat="1" ht="18" customHeight="1">
      <c r="A49" s="209"/>
      <c r="B49" s="211"/>
      <c r="C49" s="220"/>
      <c r="D49" s="205"/>
      <c r="E49" s="121" t="s">
        <v>145</v>
      </c>
      <c r="F49" s="126" t="s">
        <v>110</v>
      </c>
      <c r="G49" s="12"/>
      <c r="H49" s="106"/>
      <c r="I49" s="117" t="s">
        <v>157</v>
      </c>
      <c r="J49" s="247"/>
    </row>
    <row r="50" spans="1:10" s="4" customFormat="1" ht="18" customHeight="1">
      <c r="A50" s="209"/>
      <c r="B50" s="211"/>
      <c r="C50" s="220"/>
      <c r="D50" s="205"/>
      <c r="E50" s="123" t="s">
        <v>147</v>
      </c>
      <c r="F50" s="126" t="s">
        <v>55</v>
      </c>
      <c r="G50" s="12"/>
      <c r="H50" s="106"/>
      <c r="I50" s="117" t="s">
        <v>140</v>
      </c>
      <c r="J50" s="247"/>
    </row>
    <row r="51" spans="1:10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1"/>
      <c r="F51" s="95" t="s">
        <v>144</v>
      </c>
      <c r="G51" s="115" t="s">
        <v>148</v>
      </c>
      <c r="J51" s="229"/>
    </row>
    <row r="52" spans="1:10" s="4" customFormat="1" ht="18" customHeight="1">
      <c r="A52" s="209"/>
      <c r="B52" s="211"/>
      <c r="C52" s="220"/>
      <c r="D52" s="205"/>
      <c r="E52" s="12"/>
      <c r="F52" s="96" t="s">
        <v>158</v>
      </c>
      <c r="G52" s="115" t="s">
        <v>151</v>
      </c>
      <c r="J52" s="226"/>
    </row>
    <row r="53" spans="1:10" s="4" customFormat="1" ht="18" customHeight="1">
      <c r="A53" s="209"/>
      <c r="B53" s="211"/>
      <c r="C53" s="220"/>
      <c r="D53" s="205"/>
      <c r="E53" s="12"/>
      <c r="F53" s="118" t="s">
        <v>55</v>
      </c>
      <c r="G53" s="115" t="s">
        <v>152</v>
      </c>
      <c r="J53" s="226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7" t="s">
        <v>84</v>
      </c>
      <c r="F54" s="187" t="s">
        <v>84</v>
      </c>
      <c r="G54" s="187" t="s">
        <v>84</v>
      </c>
      <c r="H54" s="206" t="s">
        <v>45</v>
      </c>
      <c r="I54" s="206" t="s">
        <v>45</v>
      </c>
      <c r="J54" s="229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26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226"/>
    </row>
    <row r="57" spans="1:10" s="4" customFormat="1" ht="18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01" t="s">
        <v>141</v>
      </c>
      <c r="F57" s="93" t="s">
        <v>49</v>
      </c>
      <c r="G57" s="11"/>
      <c r="H57" s="110" t="s">
        <v>149</v>
      </c>
      <c r="I57" s="11"/>
      <c r="J57" s="229"/>
    </row>
    <row r="58" spans="1:10" s="4" customFormat="1" ht="18" customHeight="1">
      <c r="A58" s="209"/>
      <c r="B58" s="211"/>
      <c r="C58" s="220"/>
      <c r="D58" s="205"/>
      <c r="E58" s="100" t="s">
        <v>140</v>
      </c>
      <c r="F58" s="94" t="s">
        <v>150</v>
      </c>
      <c r="G58" s="12"/>
      <c r="H58" s="111" t="s">
        <v>55</v>
      </c>
      <c r="I58" s="12"/>
      <c r="J58" s="226"/>
    </row>
    <row r="59" spans="1:10" s="4" customFormat="1" ht="18" customHeight="1">
      <c r="A59" s="209"/>
      <c r="B59" s="211"/>
      <c r="C59" s="220"/>
      <c r="D59" s="205"/>
      <c r="E59" s="100" t="s">
        <v>99</v>
      </c>
      <c r="F59" s="94" t="s">
        <v>55</v>
      </c>
      <c r="G59" s="12"/>
      <c r="H59" s="111" t="s">
        <v>153</v>
      </c>
      <c r="I59" s="12"/>
      <c r="J59" s="226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 t="s">
        <v>107</v>
      </c>
      <c r="F60" s="308" t="s">
        <v>159</v>
      </c>
      <c r="G60" s="308" t="s">
        <v>159</v>
      </c>
      <c r="H60" s="11"/>
      <c r="I60" s="11"/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 t="s">
        <v>124</v>
      </c>
      <c r="F61" s="309"/>
      <c r="G61" s="309"/>
      <c r="H61" s="12"/>
      <c r="I61" s="12"/>
      <c r="J61" s="224"/>
    </row>
    <row r="62" spans="1:10" s="4" customFormat="1" ht="18" customHeight="1">
      <c r="A62" s="209"/>
      <c r="B62" s="211"/>
      <c r="C62" s="220"/>
      <c r="D62" s="205"/>
      <c r="E62" s="12" t="s">
        <v>25</v>
      </c>
      <c r="F62" s="309"/>
      <c r="G62" s="309"/>
      <c r="H62" s="12"/>
      <c r="I62" s="12"/>
      <c r="J62" s="2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11"/>
      <c r="G63" s="11"/>
      <c r="H63" s="11"/>
      <c r="I63" s="11"/>
      <c r="J63" s="206"/>
    </row>
    <row r="64" spans="1:10" ht="18" customHeight="1">
      <c r="A64" s="233"/>
      <c r="B64" s="236"/>
      <c r="C64" s="239"/>
      <c r="D64" s="236"/>
      <c r="E64" s="12"/>
      <c r="F64" s="12"/>
      <c r="G64" s="12"/>
      <c r="H64" s="12"/>
      <c r="I64" s="12"/>
      <c r="J64" s="207"/>
    </row>
    <row r="65" spans="1:10" ht="18" customHeight="1">
      <c r="A65" s="234"/>
      <c r="B65" s="237"/>
      <c r="C65" s="240"/>
      <c r="D65" s="237"/>
      <c r="E65" s="13"/>
      <c r="F65" s="13"/>
      <c r="G65" s="13"/>
      <c r="H65" s="13"/>
      <c r="I65" s="13"/>
      <c r="J65" s="241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315" t="s">
        <v>160</v>
      </c>
      <c r="G66" s="316"/>
      <c r="H66" s="316"/>
      <c r="I66" s="317"/>
      <c r="J66" s="206"/>
    </row>
    <row r="67" spans="1:10" ht="18" customHeight="1">
      <c r="A67" s="233"/>
      <c r="B67" s="236"/>
      <c r="C67" s="239"/>
      <c r="D67" s="236"/>
      <c r="E67" s="12"/>
      <c r="F67" s="318"/>
      <c r="G67" s="319"/>
      <c r="H67" s="319"/>
      <c r="I67" s="320"/>
      <c r="J67" s="207"/>
    </row>
    <row r="68" spans="1:10" ht="18" customHeight="1">
      <c r="A68" s="234"/>
      <c r="B68" s="237"/>
      <c r="C68" s="240"/>
      <c r="D68" s="237"/>
      <c r="E68" s="13"/>
      <c r="F68" s="321"/>
      <c r="G68" s="322"/>
      <c r="H68" s="322"/>
      <c r="I68" s="323"/>
      <c r="J68" s="241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312" t="s">
        <v>161</v>
      </c>
      <c r="F69" s="242" t="s">
        <v>162</v>
      </c>
      <c r="G69" s="312" t="s">
        <v>161</v>
      </c>
      <c r="H69" s="312" t="s">
        <v>161</v>
      </c>
      <c r="I69" s="312" t="s">
        <v>161</v>
      </c>
      <c r="J69" s="206"/>
    </row>
    <row r="70" spans="1:10" ht="18" customHeight="1">
      <c r="A70" s="233"/>
      <c r="B70" s="236"/>
      <c r="C70" s="239"/>
      <c r="D70" s="236"/>
      <c r="E70" s="313"/>
      <c r="F70" s="243"/>
      <c r="G70" s="313"/>
      <c r="H70" s="313"/>
      <c r="I70" s="313"/>
      <c r="J70" s="207"/>
    </row>
    <row r="71" spans="1:10" ht="18" customHeight="1">
      <c r="A71" s="234"/>
      <c r="B71" s="237"/>
      <c r="C71" s="240"/>
      <c r="D71" s="237"/>
      <c r="E71" s="314"/>
      <c r="F71" s="244"/>
      <c r="G71" s="314"/>
      <c r="H71" s="314"/>
      <c r="I71" s="314"/>
      <c r="J71" s="241"/>
    </row>
  </sheetData>
  <mergeCells count="151">
    <mergeCell ref="C69:C71"/>
    <mergeCell ref="D69:D71"/>
    <mergeCell ref="J66:J68"/>
    <mergeCell ref="J69:J71"/>
    <mergeCell ref="A66:A68"/>
    <mergeCell ref="B66:B68"/>
    <mergeCell ref="C66:C68"/>
    <mergeCell ref="D66:D68"/>
    <mergeCell ref="A69:A71"/>
    <mergeCell ref="B69:B71"/>
    <mergeCell ref="F69:F71"/>
    <mergeCell ref="E69:E71"/>
    <mergeCell ref="G69:G71"/>
    <mergeCell ref="H69:H71"/>
    <mergeCell ref="I69:I71"/>
    <mergeCell ref="F66:I68"/>
    <mergeCell ref="A63:A65"/>
    <mergeCell ref="B63:B65"/>
    <mergeCell ref="C63:C65"/>
    <mergeCell ref="D63:D65"/>
    <mergeCell ref="J63:J65"/>
    <mergeCell ref="A60:A62"/>
    <mergeCell ref="B60:B62"/>
    <mergeCell ref="C60:C62"/>
    <mergeCell ref="D60:D62"/>
    <mergeCell ref="J60:J62"/>
    <mergeCell ref="F60:F62"/>
    <mergeCell ref="G60:G62"/>
    <mergeCell ref="A57:A59"/>
    <mergeCell ref="B57:B59"/>
    <mergeCell ref="C57:C59"/>
    <mergeCell ref="D57:D59"/>
    <mergeCell ref="J57:J59"/>
    <mergeCell ref="A54:A56"/>
    <mergeCell ref="B54:B56"/>
    <mergeCell ref="C54:C56"/>
    <mergeCell ref="D54:D56"/>
    <mergeCell ref="J54:J56"/>
    <mergeCell ref="E54:E56"/>
    <mergeCell ref="F54:F56"/>
    <mergeCell ref="G54:G56"/>
    <mergeCell ref="H54:H56"/>
    <mergeCell ref="I54:I56"/>
    <mergeCell ref="A51:A53"/>
    <mergeCell ref="B51:B53"/>
    <mergeCell ref="C51:C53"/>
    <mergeCell ref="D51:D53"/>
    <mergeCell ref="J51:J53"/>
    <mergeCell ref="A48:A50"/>
    <mergeCell ref="B48:B50"/>
    <mergeCell ref="C48:C50"/>
    <mergeCell ref="D48:D50"/>
    <mergeCell ref="J48:J50"/>
    <mergeCell ref="A45:A47"/>
    <mergeCell ref="B45:B47"/>
    <mergeCell ref="C45:C47"/>
    <mergeCell ref="D45:D47"/>
    <mergeCell ref="J45:J47"/>
    <mergeCell ref="A42:A44"/>
    <mergeCell ref="B42:B44"/>
    <mergeCell ref="C42:C44"/>
    <mergeCell ref="D42:D44"/>
    <mergeCell ref="J42:J44"/>
    <mergeCell ref="A39:A41"/>
    <mergeCell ref="B39:B41"/>
    <mergeCell ref="C39:C41"/>
    <mergeCell ref="D39:D41"/>
    <mergeCell ref="J39:J41"/>
    <mergeCell ref="A36:A38"/>
    <mergeCell ref="B36:B38"/>
    <mergeCell ref="C36:C38"/>
    <mergeCell ref="D36:D38"/>
    <mergeCell ref="J36:J38"/>
    <mergeCell ref="F36:F38"/>
    <mergeCell ref="H36:H38"/>
    <mergeCell ref="I39:I41"/>
    <mergeCell ref="A33:A35"/>
    <mergeCell ref="B33:B35"/>
    <mergeCell ref="C33:C35"/>
    <mergeCell ref="D33:D35"/>
    <mergeCell ref="J33:J35"/>
    <mergeCell ref="M28:N28"/>
    <mergeCell ref="M29:N29"/>
    <mergeCell ref="A30:A32"/>
    <mergeCell ref="B30:B32"/>
    <mergeCell ref="C30:C32"/>
    <mergeCell ref="D30:D32"/>
    <mergeCell ref="J30:J32"/>
    <mergeCell ref="M31:N31"/>
    <mergeCell ref="L24:N24"/>
    <mergeCell ref="M25:N25"/>
    <mergeCell ref="M26:N26"/>
    <mergeCell ref="A27:A29"/>
    <mergeCell ref="B27:B29"/>
    <mergeCell ref="C27:C29"/>
    <mergeCell ref="D27:D29"/>
    <mergeCell ref="J27:J29"/>
    <mergeCell ref="M27:N27"/>
    <mergeCell ref="A24:A26"/>
    <mergeCell ref="B24:B26"/>
    <mergeCell ref="C24:C26"/>
    <mergeCell ref="D24:D26"/>
    <mergeCell ref="J24:J26"/>
    <mergeCell ref="H27:H29"/>
    <mergeCell ref="I27:I29"/>
    <mergeCell ref="A21:A23"/>
    <mergeCell ref="B21:B23"/>
    <mergeCell ref="C21:C23"/>
    <mergeCell ref="D21:D23"/>
    <mergeCell ref="J21:J23"/>
    <mergeCell ref="L16:N17"/>
    <mergeCell ref="A18:A20"/>
    <mergeCell ref="B18:B20"/>
    <mergeCell ref="C18:C20"/>
    <mergeCell ref="D18:D20"/>
    <mergeCell ref="J18:J20"/>
    <mergeCell ref="L19:N20"/>
    <mergeCell ref="A15:A17"/>
    <mergeCell ref="B15:B17"/>
    <mergeCell ref="C15:C17"/>
    <mergeCell ref="D15:D17"/>
    <mergeCell ref="J15:J17"/>
    <mergeCell ref="E18:E20"/>
    <mergeCell ref="F18:F20"/>
    <mergeCell ref="A12:A14"/>
    <mergeCell ref="B12:B14"/>
    <mergeCell ref="C12:C14"/>
    <mergeCell ref="D12:D14"/>
    <mergeCell ref="J12:J14"/>
    <mergeCell ref="A9:A11"/>
    <mergeCell ref="B9:B11"/>
    <mergeCell ref="C9:C11"/>
    <mergeCell ref="D9:D11"/>
    <mergeCell ref="J9:J11"/>
    <mergeCell ref="E9:E11"/>
    <mergeCell ref="F9:F11"/>
    <mergeCell ref="G9:G11"/>
    <mergeCell ref="H9:H11"/>
    <mergeCell ref="I9:I11"/>
    <mergeCell ref="J3:J5"/>
    <mergeCell ref="A6:A8"/>
    <mergeCell ref="B6:B8"/>
    <mergeCell ref="C6:C8"/>
    <mergeCell ref="D6:D8"/>
    <mergeCell ref="J6:J8"/>
    <mergeCell ref="A1:I1"/>
    <mergeCell ref="B2:D2"/>
    <mergeCell ref="A3:A5"/>
    <mergeCell ref="B3:B5"/>
    <mergeCell ref="C3:C5"/>
    <mergeCell ref="D3:D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0DB5-7E6B-2B4D-AD9E-242D510BEEBF}">
  <sheetPr>
    <pageSetUpPr fitToPage="1"/>
  </sheetPr>
  <dimension ref="A1:P71"/>
  <sheetViews>
    <sheetView topLeftCell="A53" zoomScaleNormal="100" zoomScaleSheetLayoutView="120" workbookViewId="0">
      <selection activeCell="I64" sqref="I64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7" width="12.109375" style="3" customWidth="1"/>
    <col min="8" max="8" width="19.44140625" style="3" customWidth="1"/>
    <col min="9" max="9" width="12.109375" style="3" customWidth="1"/>
    <col min="10" max="10" width="14.77734375" style="3" customWidth="1"/>
    <col min="11" max="11" width="4.33203125" customWidth="1"/>
    <col min="12" max="12" width="12.33203125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163</v>
      </c>
      <c r="B1" s="194"/>
      <c r="C1" s="194"/>
      <c r="D1" s="194"/>
      <c r="E1" s="194"/>
      <c r="F1" s="194"/>
      <c r="G1" s="194"/>
      <c r="H1" s="194"/>
      <c r="I1" s="194"/>
      <c r="J1" s="146" t="s">
        <v>164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 customHeight="1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41"/>
      <c r="K5" s="9"/>
      <c r="L5" s="12" t="s">
        <v>17</v>
      </c>
      <c r="M5" s="12" t="s">
        <v>18</v>
      </c>
      <c r="N5" s="15"/>
    </row>
    <row r="6" spans="1:16" s="4" customFormat="1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06"/>
      <c r="K6" s="1"/>
      <c r="L6" s="15"/>
      <c r="M6" s="15"/>
      <c r="N6" s="15"/>
    </row>
    <row r="7" spans="1:16" s="4" customFormat="1" ht="14.25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5"/>
      <c r="M7" s="15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41"/>
      <c r="K8" s="1"/>
      <c r="L8" s="33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/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41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5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41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71" t="s">
        <v>31</v>
      </c>
      <c r="M15" s="172"/>
      <c r="N15" s="173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46"/>
      <c r="M16" s="174" t="s">
        <v>32</v>
      </c>
      <c r="N16" s="175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41"/>
      <c r="L17" s="45"/>
      <c r="M17" s="176" t="s">
        <v>33</v>
      </c>
      <c r="N17" s="177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308" t="s">
        <v>138</v>
      </c>
      <c r="F18" s="308" t="s">
        <v>138</v>
      </c>
      <c r="G18" s="11"/>
      <c r="H18" s="11"/>
      <c r="I18" s="11"/>
      <c r="J18" s="206"/>
      <c r="L18" s="47"/>
      <c r="M18" s="176" t="s">
        <v>35</v>
      </c>
      <c r="N18" s="177"/>
    </row>
    <row r="19" spans="1:14" s="4" customFormat="1" ht="18" customHeight="1">
      <c r="A19" s="209"/>
      <c r="B19" s="211"/>
      <c r="C19" s="203"/>
      <c r="D19" s="205"/>
      <c r="E19" s="309"/>
      <c r="F19" s="309"/>
      <c r="G19" s="12"/>
      <c r="H19" s="12"/>
      <c r="I19" s="12"/>
      <c r="J19" s="207"/>
      <c r="L19" s="23"/>
      <c r="M19" s="178" t="s">
        <v>36</v>
      </c>
      <c r="N19" s="179"/>
    </row>
    <row r="20" spans="1:14" s="4" customFormat="1">
      <c r="A20" s="209"/>
      <c r="B20" s="211"/>
      <c r="C20" s="203"/>
      <c r="D20" s="205"/>
      <c r="E20" s="309"/>
      <c r="F20" s="309"/>
      <c r="G20" s="12"/>
      <c r="H20" s="12"/>
      <c r="I20" s="12"/>
      <c r="J20" s="241"/>
      <c r="L20" s="48"/>
      <c r="M20" s="180" t="s">
        <v>37</v>
      </c>
      <c r="N20" s="181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99">
        <f t="shared" si="0"/>
        <v>46101</v>
      </c>
      <c r="E21" s="132"/>
      <c r="F21" s="131"/>
      <c r="G21" s="105"/>
      <c r="H21" s="11"/>
      <c r="I21" s="11"/>
      <c r="J21" s="206"/>
      <c r="L21" s="22"/>
      <c r="M21" s="25" t="s">
        <v>38</v>
      </c>
      <c r="N21" s="26"/>
    </row>
    <row r="22" spans="1:14" s="4" customFormat="1" ht="18" customHeight="1">
      <c r="A22" s="209"/>
      <c r="B22" s="211"/>
      <c r="C22" s="203"/>
      <c r="D22" s="300"/>
      <c r="E22" s="132"/>
      <c r="F22" s="131"/>
      <c r="G22" s="106"/>
      <c r="H22" s="12"/>
      <c r="I22" s="12"/>
      <c r="J22" s="207"/>
      <c r="L22" s="27"/>
      <c r="M22" s="182" t="s">
        <v>39</v>
      </c>
      <c r="N22" s="183"/>
    </row>
    <row r="23" spans="1:14" s="4" customFormat="1" ht="18" customHeight="1">
      <c r="A23" s="209"/>
      <c r="B23" s="211"/>
      <c r="C23" s="203"/>
      <c r="D23" s="300"/>
      <c r="E23" s="132"/>
      <c r="F23" s="131"/>
      <c r="G23" s="106"/>
      <c r="H23" s="12"/>
      <c r="I23" s="12"/>
      <c r="J23" s="241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78"/>
      <c r="F24" s="78"/>
      <c r="G24" s="11"/>
      <c r="H24" s="112" t="s">
        <v>139</v>
      </c>
      <c r="I24" s="101" t="s">
        <v>165</v>
      </c>
      <c r="J24" s="206"/>
      <c r="L24" s="17"/>
      <c r="M24" s="15"/>
      <c r="N24" s="29"/>
    </row>
    <row r="25" spans="1:14" s="4" customFormat="1" ht="18" customHeight="1">
      <c r="A25" s="209"/>
      <c r="B25" s="211"/>
      <c r="C25" s="203"/>
      <c r="D25" s="205"/>
      <c r="E25" s="12"/>
      <c r="F25" s="12"/>
      <c r="G25" s="12"/>
      <c r="H25" s="113" t="s">
        <v>110</v>
      </c>
      <c r="I25" s="101" t="s">
        <v>166</v>
      </c>
      <c r="J25" s="207"/>
      <c r="L25" s="191" t="str">
        <f>'11C1'!L35</f>
        <v>DATAS IMPORTANTES</v>
      </c>
      <c r="M25" s="191"/>
      <c r="N25" s="32"/>
    </row>
    <row r="26" spans="1:14" s="4" customFormat="1" ht="24" customHeight="1">
      <c r="A26" s="209"/>
      <c r="B26" s="211"/>
      <c r="C26" s="203"/>
      <c r="D26" s="205"/>
      <c r="E26" s="12"/>
      <c r="F26" s="12"/>
      <c r="G26" s="12"/>
      <c r="H26" s="113" t="s">
        <v>167</v>
      </c>
      <c r="I26" s="101" t="s">
        <v>168</v>
      </c>
      <c r="J26" s="241"/>
      <c r="L26" s="15" t="str">
        <f>'11C1'!L36</f>
        <v>13.05</v>
      </c>
      <c r="M26" s="15" t="str">
        <f>'11C1'!M36</f>
        <v>AR</v>
      </c>
      <c r="N26" s="15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11"/>
      <c r="F27" s="124" t="s">
        <v>142</v>
      </c>
      <c r="G27" s="11"/>
      <c r="H27" s="206" t="s">
        <v>45</v>
      </c>
      <c r="I27" s="206" t="s">
        <v>45</v>
      </c>
      <c r="J27" s="206"/>
      <c r="L27" s="4" t="str">
        <f>'11C1'!L37</f>
        <v>27.04</v>
      </c>
      <c r="M27" s="4" t="str">
        <f>'11C1'!M37</f>
        <v>LANÇAMENTO DE NOTAS NO PORTAL</v>
      </c>
    </row>
    <row r="28" spans="1:14" s="4" customFormat="1">
      <c r="A28" s="209"/>
      <c r="B28" s="211"/>
      <c r="C28" s="203"/>
      <c r="D28" s="205"/>
      <c r="E28" s="12"/>
      <c r="F28" s="125" t="s">
        <v>110</v>
      </c>
      <c r="G28" s="12"/>
      <c r="H28" s="207"/>
      <c r="I28" s="207"/>
      <c r="J28" s="207"/>
    </row>
    <row r="29" spans="1:14" s="4" customFormat="1">
      <c r="A29" s="209"/>
      <c r="B29" s="211"/>
      <c r="C29" s="203"/>
      <c r="D29" s="205"/>
      <c r="E29" s="12"/>
      <c r="F29" s="125" t="s">
        <v>55</v>
      </c>
      <c r="G29" s="12"/>
      <c r="H29" s="207"/>
      <c r="I29" s="207"/>
      <c r="J29" s="241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19" t="s">
        <v>143</v>
      </c>
      <c r="F30" s="11"/>
      <c r="G30" s="95" t="s">
        <v>144</v>
      </c>
      <c r="I30" s="11"/>
      <c r="J30" s="206"/>
    </row>
    <row r="31" spans="1:14" s="4" customFormat="1" ht="18" customHeight="1">
      <c r="A31" s="209"/>
      <c r="B31" s="211"/>
      <c r="C31" s="203"/>
      <c r="D31" s="205"/>
      <c r="E31" s="120" t="s">
        <v>145</v>
      </c>
      <c r="F31" s="12"/>
      <c r="G31" s="96" t="s">
        <v>146</v>
      </c>
      <c r="I31" s="12"/>
      <c r="J31" s="207"/>
    </row>
    <row r="32" spans="1:14" s="4" customFormat="1" ht="18" customHeight="1">
      <c r="A32" s="209"/>
      <c r="B32" s="211"/>
      <c r="C32" s="203"/>
      <c r="D32" s="205"/>
      <c r="E32" s="120" t="s">
        <v>147</v>
      </c>
      <c r="F32" s="12"/>
      <c r="G32" s="118" t="s">
        <v>55</v>
      </c>
      <c r="I32" s="12"/>
      <c r="J32" s="241"/>
    </row>
    <row r="33" spans="1:14" s="4" customFormat="1" ht="18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1"/>
      <c r="F33" s="93" t="s">
        <v>49</v>
      </c>
      <c r="G33" s="114" t="s">
        <v>148</v>
      </c>
      <c r="H33" s="110" t="s">
        <v>149</v>
      </c>
      <c r="I33" s="11"/>
      <c r="J33" s="206"/>
    </row>
    <row r="34" spans="1:14" s="4" customFormat="1" ht="18" customHeight="1">
      <c r="A34" s="213"/>
      <c r="B34" s="215"/>
      <c r="C34" s="218"/>
      <c r="D34" s="215"/>
      <c r="E34" s="12"/>
      <c r="F34" s="94" t="s">
        <v>150</v>
      </c>
      <c r="G34" s="115" t="s">
        <v>151</v>
      </c>
      <c r="H34" s="111" t="s">
        <v>55</v>
      </c>
      <c r="I34" s="12"/>
      <c r="J34" s="207"/>
    </row>
    <row r="35" spans="1:14" s="4" customFormat="1" ht="18" customHeight="1">
      <c r="A35" s="213"/>
      <c r="B35" s="216"/>
      <c r="C35" s="218"/>
      <c r="D35" s="216"/>
      <c r="E35" s="12"/>
      <c r="F35" s="94" t="s">
        <v>55</v>
      </c>
      <c r="G35" s="115" t="s">
        <v>169</v>
      </c>
      <c r="H35" s="111" t="s">
        <v>153</v>
      </c>
      <c r="I35" s="12"/>
      <c r="J35" s="241"/>
      <c r="L35" s="15"/>
      <c r="M35" s="15"/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99" t="s">
        <v>71</v>
      </c>
      <c r="F36" s="206" t="s">
        <v>45</v>
      </c>
      <c r="G36" s="11"/>
      <c r="H36" s="206" t="s">
        <v>45</v>
      </c>
      <c r="J36" s="206"/>
    </row>
    <row r="37" spans="1:14" s="4" customFormat="1" ht="18" customHeight="1">
      <c r="A37" s="209"/>
      <c r="B37" s="211"/>
      <c r="C37" s="203"/>
      <c r="D37" s="205"/>
      <c r="E37" s="98" t="s">
        <v>72</v>
      </c>
      <c r="F37" s="207"/>
      <c r="G37" s="12"/>
      <c r="H37" s="207"/>
      <c r="J37" s="207"/>
    </row>
    <row r="38" spans="1:14" s="4" customFormat="1" ht="18" customHeight="1">
      <c r="A38" s="209"/>
      <c r="B38" s="211"/>
      <c r="C38" s="203"/>
      <c r="D38" s="205"/>
      <c r="E38" s="98" t="s">
        <v>73</v>
      </c>
      <c r="F38" s="207"/>
      <c r="G38" s="12"/>
      <c r="H38" s="207"/>
      <c r="J38" s="241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 t="s">
        <v>107</v>
      </c>
      <c r="F39" s="11"/>
      <c r="G39" s="11"/>
      <c r="H39" s="11"/>
      <c r="I39" s="206" t="s">
        <v>45</v>
      </c>
      <c r="J39" s="206"/>
    </row>
    <row r="40" spans="1:14" s="4" customFormat="1" ht="18" customHeight="1">
      <c r="A40" s="209"/>
      <c r="B40" s="211"/>
      <c r="C40" s="203"/>
      <c r="D40" s="205"/>
      <c r="E40" s="12" t="s">
        <v>124</v>
      </c>
      <c r="F40" s="12"/>
      <c r="G40" s="12"/>
      <c r="H40" s="12"/>
      <c r="I40" s="207"/>
      <c r="J40" s="207"/>
    </row>
    <row r="41" spans="1:14" s="4" customFormat="1" ht="18" customHeight="1">
      <c r="A41" s="209"/>
      <c r="B41" s="211"/>
      <c r="C41" s="203"/>
      <c r="D41" s="205"/>
      <c r="E41" s="12" t="s">
        <v>25</v>
      </c>
      <c r="F41" s="12"/>
      <c r="G41" s="12"/>
      <c r="H41" s="12"/>
      <c r="I41" s="207"/>
      <c r="J41" s="241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11"/>
      <c r="G42" s="11"/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12"/>
      <c r="G43" s="12"/>
      <c r="H43" s="12"/>
      <c r="I43" s="12"/>
      <c r="J43" s="224"/>
    </row>
    <row r="44" spans="1:14" s="4" customFormat="1" ht="18" customHeight="1">
      <c r="A44" s="209"/>
      <c r="B44" s="211"/>
      <c r="C44" s="203"/>
      <c r="D44" s="205"/>
      <c r="E44" s="12"/>
      <c r="F44" s="12"/>
      <c r="G44" s="12"/>
      <c r="H44" s="12"/>
      <c r="I44" s="12"/>
      <c r="J44" s="3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102" t="s">
        <v>154</v>
      </c>
      <c r="H45" s="112" t="s">
        <v>139</v>
      </c>
      <c r="I45" s="99" t="s">
        <v>71</v>
      </c>
      <c r="J45" s="221"/>
      <c r="L45" s="4" t="s">
        <v>80</v>
      </c>
    </row>
    <row r="46" spans="1:14" s="4" customFormat="1" ht="18" customHeight="1">
      <c r="A46" s="209"/>
      <c r="B46" s="211"/>
      <c r="C46" s="220"/>
      <c r="D46" s="205"/>
      <c r="E46" s="12"/>
      <c r="F46" s="12"/>
      <c r="G46" s="103" t="s">
        <v>155</v>
      </c>
      <c r="H46" s="113" t="s">
        <v>110</v>
      </c>
      <c r="I46" s="98">
        <v>4.5</v>
      </c>
      <c r="J46" s="222"/>
    </row>
    <row r="47" spans="1:14" s="4" customFormat="1" ht="18" customHeight="1">
      <c r="A47" s="209"/>
      <c r="B47" s="211"/>
      <c r="C47" s="220"/>
      <c r="D47" s="205"/>
      <c r="E47" s="12"/>
      <c r="F47" s="12"/>
      <c r="G47" s="104" t="s">
        <v>156</v>
      </c>
      <c r="H47" s="113" t="s">
        <v>167</v>
      </c>
      <c r="I47" s="98" t="s">
        <v>73</v>
      </c>
      <c r="J47" s="327"/>
    </row>
    <row r="48" spans="1:14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22" t="s">
        <v>143</v>
      </c>
      <c r="F48" s="126" t="s">
        <v>142</v>
      </c>
      <c r="H48" s="11"/>
      <c r="I48" s="116" t="s">
        <v>119</v>
      </c>
      <c r="J48" s="246"/>
    </row>
    <row r="49" spans="1:10" s="4" customFormat="1" ht="18" customHeight="1">
      <c r="A49" s="209"/>
      <c r="B49" s="211"/>
      <c r="C49" s="220"/>
      <c r="D49" s="205"/>
      <c r="E49" s="121" t="s">
        <v>145</v>
      </c>
      <c r="F49" s="126" t="s">
        <v>110</v>
      </c>
      <c r="H49" s="12"/>
      <c r="I49" s="117" t="s">
        <v>157</v>
      </c>
      <c r="J49" s="247"/>
    </row>
    <row r="50" spans="1:10" s="4" customFormat="1" ht="18" customHeight="1">
      <c r="A50" s="209"/>
      <c r="B50" s="211"/>
      <c r="C50" s="220"/>
      <c r="D50" s="205"/>
      <c r="E50" s="121" t="s">
        <v>147</v>
      </c>
      <c r="F50" s="126" t="s">
        <v>55</v>
      </c>
      <c r="H50" s="12"/>
      <c r="I50" s="117" t="s">
        <v>167</v>
      </c>
      <c r="J50" s="326"/>
    </row>
    <row r="51" spans="1:10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1"/>
      <c r="F51" s="95" t="s">
        <v>144</v>
      </c>
      <c r="G51" s="114" t="s">
        <v>148</v>
      </c>
      <c r="J51" s="229"/>
    </row>
    <row r="52" spans="1:10" s="4" customFormat="1" ht="18" customHeight="1">
      <c r="A52" s="209"/>
      <c r="B52" s="211"/>
      <c r="C52" s="220"/>
      <c r="D52" s="205"/>
      <c r="E52" s="12"/>
      <c r="F52" s="96" t="s">
        <v>158</v>
      </c>
      <c r="G52" s="115" t="s">
        <v>151</v>
      </c>
      <c r="J52" s="226"/>
    </row>
    <row r="53" spans="1:10" s="4" customFormat="1" ht="18" customHeight="1">
      <c r="A53" s="209"/>
      <c r="B53" s="211"/>
      <c r="C53" s="220"/>
      <c r="D53" s="205"/>
      <c r="E53" s="12"/>
      <c r="F53" s="118" t="s">
        <v>55</v>
      </c>
      <c r="G53" s="115" t="s">
        <v>169</v>
      </c>
      <c r="J53" s="325"/>
    </row>
    <row r="54" spans="1:10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187" t="s">
        <v>84</v>
      </c>
      <c r="F54" s="187" t="s">
        <v>84</v>
      </c>
      <c r="G54" s="187" t="s">
        <v>84</v>
      </c>
      <c r="H54" s="206" t="s">
        <v>45</v>
      </c>
      <c r="I54" s="206" t="s">
        <v>45</v>
      </c>
      <c r="J54" s="229"/>
    </row>
    <row r="55" spans="1:10" s="4" customFormat="1" ht="18" customHeight="1">
      <c r="A55" s="209"/>
      <c r="B55" s="211"/>
      <c r="C55" s="220"/>
      <c r="D55" s="205"/>
      <c r="E55" s="188"/>
      <c r="F55" s="188"/>
      <c r="G55" s="188"/>
      <c r="H55" s="207"/>
      <c r="I55" s="207"/>
      <c r="J55" s="226"/>
    </row>
    <row r="56" spans="1:10" s="4" customFormat="1" ht="18" customHeight="1">
      <c r="A56" s="209"/>
      <c r="B56" s="211"/>
      <c r="C56" s="220"/>
      <c r="D56" s="205"/>
      <c r="E56" s="188"/>
      <c r="F56" s="188"/>
      <c r="G56" s="188"/>
      <c r="H56" s="207"/>
      <c r="I56" s="207"/>
      <c r="J56" s="325"/>
    </row>
    <row r="57" spans="1:10" s="4" customFormat="1" ht="18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93" t="s">
        <v>49</v>
      </c>
      <c r="H57" s="110" t="s">
        <v>149</v>
      </c>
      <c r="I57" s="101" t="s">
        <v>165</v>
      </c>
      <c r="J57" s="206"/>
    </row>
    <row r="58" spans="1:10" s="4" customFormat="1" ht="21" customHeight="1">
      <c r="A58" s="209"/>
      <c r="B58" s="211"/>
      <c r="C58" s="220"/>
      <c r="D58" s="205"/>
      <c r="E58" s="12"/>
      <c r="F58" s="94" t="s">
        <v>150</v>
      </c>
      <c r="H58" s="111" t="s">
        <v>55</v>
      </c>
      <c r="I58" s="101" t="s">
        <v>166</v>
      </c>
      <c r="J58" s="207"/>
    </row>
    <row r="59" spans="1:10" s="4" customFormat="1" ht="33" customHeight="1">
      <c r="A59" s="209"/>
      <c r="B59" s="211"/>
      <c r="C59" s="220"/>
      <c r="D59" s="205"/>
      <c r="E59" s="12"/>
      <c r="F59" s="94" t="s">
        <v>55</v>
      </c>
      <c r="H59" s="111" t="s">
        <v>153</v>
      </c>
      <c r="I59" s="101" t="s">
        <v>168</v>
      </c>
      <c r="J59" s="241"/>
    </row>
    <row r="60" spans="1:10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11" t="s">
        <v>107</v>
      </c>
      <c r="F60" s="308" t="s">
        <v>159</v>
      </c>
      <c r="G60" s="308" t="s">
        <v>159</v>
      </c>
      <c r="H60" s="11"/>
      <c r="J60" s="223" t="s">
        <v>77</v>
      </c>
    </row>
    <row r="61" spans="1:10" s="4" customFormat="1" ht="18" customHeight="1">
      <c r="A61" s="209"/>
      <c r="B61" s="211"/>
      <c r="C61" s="220"/>
      <c r="D61" s="205"/>
      <c r="E61" s="12" t="s">
        <v>124</v>
      </c>
      <c r="F61" s="309"/>
      <c r="G61" s="309"/>
      <c r="H61" s="12"/>
      <c r="J61" s="224"/>
    </row>
    <row r="62" spans="1:10" s="4" customFormat="1" ht="18" customHeight="1">
      <c r="A62" s="209"/>
      <c r="B62" s="211"/>
      <c r="C62" s="220"/>
      <c r="D62" s="205"/>
      <c r="E62" s="12" t="s">
        <v>25</v>
      </c>
      <c r="F62" s="309"/>
      <c r="G62" s="309"/>
      <c r="H62" s="12"/>
      <c r="J62" s="324"/>
    </row>
    <row r="63" spans="1:10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11"/>
      <c r="G63" s="11"/>
      <c r="H63" s="11"/>
      <c r="I63" s="11"/>
      <c r="J63" s="206"/>
    </row>
    <row r="64" spans="1:10" ht="18" customHeight="1">
      <c r="A64" s="233"/>
      <c r="B64" s="236"/>
      <c r="C64" s="239"/>
      <c r="D64" s="236"/>
      <c r="E64" s="12"/>
      <c r="F64" s="12"/>
      <c r="G64" s="12"/>
      <c r="H64" s="12"/>
      <c r="I64" s="12"/>
      <c r="J64" s="207"/>
    </row>
    <row r="65" spans="1:10" ht="18" customHeight="1">
      <c r="A65" s="234"/>
      <c r="B65" s="237"/>
      <c r="C65" s="240"/>
      <c r="D65" s="237"/>
      <c r="E65" s="13"/>
      <c r="F65" s="13"/>
      <c r="G65" s="13"/>
      <c r="H65" s="13"/>
      <c r="I65" s="13"/>
      <c r="J65" s="241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315" t="s">
        <v>160</v>
      </c>
      <c r="G66" s="316"/>
      <c r="H66" s="316"/>
      <c r="I66" s="317"/>
      <c r="J66" s="206"/>
    </row>
    <row r="67" spans="1:10" ht="18" customHeight="1">
      <c r="A67" s="233"/>
      <c r="B67" s="236"/>
      <c r="C67" s="239"/>
      <c r="D67" s="236"/>
      <c r="E67" s="12"/>
      <c r="F67" s="318"/>
      <c r="G67" s="319"/>
      <c r="H67" s="319"/>
      <c r="I67" s="320"/>
      <c r="J67" s="207"/>
    </row>
    <row r="68" spans="1:10" ht="18" customHeight="1">
      <c r="A68" s="234"/>
      <c r="B68" s="237"/>
      <c r="C68" s="240"/>
      <c r="D68" s="237"/>
      <c r="E68" s="13"/>
      <c r="F68" s="321"/>
      <c r="G68" s="322"/>
      <c r="H68" s="322"/>
      <c r="I68" s="323"/>
      <c r="J68" s="241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312" t="s">
        <v>161</v>
      </c>
      <c r="F69" s="242" t="s">
        <v>162</v>
      </c>
      <c r="G69" s="312" t="s">
        <v>161</v>
      </c>
      <c r="H69" s="312" t="s">
        <v>161</v>
      </c>
      <c r="I69" s="312" t="s">
        <v>161</v>
      </c>
      <c r="J69" s="206"/>
    </row>
    <row r="70" spans="1:10" ht="18" customHeight="1">
      <c r="A70" s="233"/>
      <c r="B70" s="236"/>
      <c r="C70" s="239"/>
      <c r="D70" s="236"/>
      <c r="E70" s="313"/>
      <c r="F70" s="243"/>
      <c r="G70" s="313"/>
      <c r="H70" s="313"/>
      <c r="I70" s="313"/>
      <c r="J70" s="207"/>
    </row>
    <row r="71" spans="1:10" ht="18" customHeight="1">
      <c r="A71" s="234"/>
      <c r="B71" s="237"/>
      <c r="C71" s="240"/>
      <c r="D71" s="237"/>
      <c r="E71" s="314"/>
      <c r="F71" s="244"/>
      <c r="G71" s="314"/>
      <c r="H71" s="314"/>
      <c r="I71" s="314"/>
      <c r="J71" s="241"/>
    </row>
  </sheetData>
  <mergeCells count="150">
    <mergeCell ref="G69:G71"/>
    <mergeCell ref="H69:H71"/>
    <mergeCell ref="I69:I71"/>
    <mergeCell ref="F66:I68"/>
    <mergeCell ref="C69:C71"/>
    <mergeCell ref="D69:D71"/>
    <mergeCell ref="A66:A68"/>
    <mergeCell ref="B66:B68"/>
    <mergeCell ref="C66:C68"/>
    <mergeCell ref="D66:D68"/>
    <mergeCell ref="A69:A71"/>
    <mergeCell ref="B69:B71"/>
    <mergeCell ref="F69:F71"/>
    <mergeCell ref="E69:E71"/>
    <mergeCell ref="E54:E56"/>
    <mergeCell ref="F54:F56"/>
    <mergeCell ref="G54:G56"/>
    <mergeCell ref="H54:H56"/>
    <mergeCell ref="I54:I56"/>
    <mergeCell ref="A63:A65"/>
    <mergeCell ref="B63:B65"/>
    <mergeCell ref="C63:C65"/>
    <mergeCell ref="D63:D65"/>
    <mergeCell ref="A60:A62"/>
    <mergeCell ref="B60:B62"/>
    <mergeCell ref="C60:C62"/>
    <mergeCell ref="D60:D62"/>
    <mergeCell ref="F60:F62"/>
    <mergeCell ref="G60:G62"/>
    <mergeCell ref="A51:A53"/>
    <mergeCell ref="B51:B53"/>
    <mergeCell ref="C51:C53"/>
    <mergeCell ref="D51:D53"/>
    <mergeCell ref="A48:A50"/>
    <mergeCell ref="B48:B50"/>
    <mergeCell ref="C48:C50"/>
    <mergeCell ref="D48:D50"/>
    <mergeCell ref="A57:A59"/>
    <mergeCell ref="B57:B59"/>
    <mergeCell ref="C57:C59"/>
    <mergeCell ref="D57:D59"/>
    <mergeCell ref="A54:A56"/>
    <mergeCell ref="B54:B56"/>
    <mergeCell ref="C54:C56"/>
    <mergeCell ref="D54:D56"/>
    <mergeCell ref="H36:H38"/>
    <mergeCell ref="F36:F38"/>
    <mergeCell ref="I39:I41"/>
    <mergeCell ref="A45:A47"/>
    <mergeCell ref="B45:B47"/>
    <mergeCell ref="C45:C47"/>
    <mergeCell ref="D45:D47"/>
    <mergeCell ref="A42:A44"/>
    <mergeCell ref="B42:B44"/>
    <mergeCell ref="C42:C44"/>
    <mergeCell ref="D42:D44"/>
    <mergeCell ref="A33:A35"/>
    <mergeCell ref="B33:B35"/>
    <mergeCell ref="C33:C35"/>
    <mergeCell ref="D33:D35"/>
    <mergeCell ref="A30:A32"/>
    <mergeCell ref="B30:B32"/>
    <mergeCell ref="C30:C32"/>
    <mergeCell ref="D30:D32"/>
    <mergeCell ref="A39:A41"/>
    <mergeCell ref="B39:B41"/>
    <mergeCell ref="C39:C41"/>
    <mergeCell ref="D39:D41"/>
    <mergeCell ref="A36:A38"/>
    <mergeCell ref="B36:B38"/>
    <mergeCell ref="C36:C38"/>
    <mergeCell ref="D36:D38"/>
    <mergeCell ref="L15:N15"/>
    <mergeCell ref="M16:N16"/>
    <mergeCell ref="M17:N17"/>
    <mergeCell ref="M18:N18"/>
    <mergeCell ref="M19:N19"/>
    <mergeCell ref="M20:N20"/>
    <mergeCell ref="M22:N22"/>
    <mergeCell ref="A27:A29"/>
    <mergeCell ref="B27:B29"/>
    <mergeCell ref="C27:C29"/>
    <mergeCell ref="D27:D29"/>
    <mergeCell ref="J27:J29"/>
    <mergeCell ref="A24:A26"/>
    <mergeCell ref="B24:B26"/>
    <mergeCell ref="C24:C26"/>
    <mergeCell ref="D24:D26"/>
    <mergeCell ref="J24:J26"/>
    <mergeCell ref="H27:H29"/>
    <mergeCell ref="I27:I29"/>
    <mergeCell ref="L25:M25"/>
    <mergeCell ref="E18:E20"/>
    <mergeCell ref="F18:F20"/>
    <mergeCell ref="A1:I1"/>
    <mergeCell ref="B2:D2"/>
    <mergeCell ref="A3:A5"/>
    <mergeCell ref="B3:B5"/>
    <mergeCell ref="C3:C5"/>
    <mergeCell ref="D3:D5"/>
    <mergeCell ref="A12:A14"/>
    <mergeCell ref="B12:B14"/>
    <mergeCell ref="C12:C14"/>
    <mergeCell ref="D12:D14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3:J5"/>
    <mergeCell ref="A6:A8"/>
    <mergeCell ref="B6:B8"/>
    <mergeCell ref="C6:C8"/>
    <mergeCell ref="D6:D8"/>
    <mergeCell ref="J6:J8"/>
    <mergeCell ref="J12:J14"/>
    <mergeCell ref="J9:J11"/>
    <mergeCell ref="A21:A23"/>
    <mergeCell ref="B21:B23"/>
    <mergeCell ref="C21:C23"/>
    <mergeCell ref="D21:D23"/>
    <mergeCell ref="J21:J23"/>
    <mergeCell ref="A18:A20"/>
    <mergeCell ref="B18:B20"/>
    <mergeCell ref="C18:C20"/>
    <mergeCell ref="D18:D20"/>
    <mergeCell ref="J18:J20"/>
    <mergeCell ref="A15:A17"/>
    <mergeCell ref="B15:B17"/>
    <mergeCell ref="C15:C17"/>
    <mergeCell ref="D15:D17"/>
    <mergeCell ref="J15:J17"/>
    <mergeCell ref="J42:J44"/>
    <mergeCell ref="J39:J41"/>
    <mergeCell ref="J36:J38"/>
    <mergeCell ref="J33:J35"/>
    <mergeCell ref="J30:J32"/>
    <mergeCell ref="J69:J71"/>
    <mergeCell ref="J66:J68"/>
    <mergeCell ref="J63:J65"/>
    <mergeCell ref="J60:J62"/>
    <mergeCell ref="J57:J59"/>
    <mergeCell ref="J54:J56"/>
    <mergeCell ref="J51:J53"/>
    <mergeCell ref="J48:J50"/>
    <mergeCell ref="J45:J47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7602-BC9D-544D-802A-DC3F23456FF0}">
  <sheetPr>
    <pageSetUpPr fitToPage="1"/>
  </sheetPr>
  <dimension ref="A1:P72"/>
  <sheetViews>
    <sheetView topLeftCell="A39" zoomScaleNormal="100" zoomScaleSheetLayoutView="120" workbookViewId="0">
      <selection activeCell="I59" sqref="I59:I61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5" width="12.109375" style="3" customWidth="1"/>
    <col min="6" max="6" width="13.109375" style="3" customWidth="1"/>
    <col min="7" max="7" width="13" style="3" customWidth="1"/>
    <col min="8" max="9" width="12.109375" style="3" customWidth="1"/>
    <col min="10" max="10" width="16.109375" style="3" customWidth="1"/>
    <col min="11" max="11" width="4.33203125" customWidth="1"/>
    <col min="12" max="12" width="12.33203125" style="3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170</v>
      </c>
      <c r="B1" s="194"/>
      <c r="C1" s="194"/>
      <c r="D1" s="194"/>
      <c r="E1" s="194"/>
      <c r="F1" s="194"/>
      <c r="G1" s="194"/>
      <c r="H1" s="194"/>
      <c r="I1" s="194"/>
      <c r="J1" s="146" t="s">
        <v>97</v>
      </c>
      <c r="N1" s="5"/>
      <c r="O1" s="5"/>
      <c r="P1" s="5"/>
    </row>
    <row r="2" spans="1:16" s="4" customFormat="1" ht="30.75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  <c r="L2" s="1"/>
    </row>
    <row r="3" spans="1:16" s="4" customFormat="1" ht="14.25" customHeight="1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 customHeight="1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07"/>
      <c r="K5" s="9"/>
      <c r="L5" s="12" t="s">
        <v>17</v>
      </c>
      <c r="M5" s="12" t="s">
        <v>18</v>
      </c>
      <c r="N5" s="15"/>
    </row>
    <row r="6" spans="1:16" s="4" customFormat="1">
      <c r="A6" s="208">
        <f>A3+1</f>
        <v>2</v>
      </c>
      <c r="B6" s="210">
        <f>D3+3</f>
        <v>46062</v>
      </c>
      <c r="C6" s="202" t="s">
        <v>12</v>
      </c>
      <c r="D6" s="204">
        <f t="shared" ref="D6:D59" si="0">B6+4</f>
        <v>46066</v>
      </c>
      <c r="E6" s="11"/>
      <c r="F6" s="11"/>
      <c r="G6" s="11"/>
      <c r="H6" s="11"/>
      <c r="I6" s="11"/>
      <c r="J6" s="206"/>
      <c r="K6" s="1"/>
      <c r="L6" s="161"/>
      <c r="M6" s="15"/>
      <c r="N6" s="15"/>
    </row>
    <row r="7" spans="1:16" s="4" customFormat="1" ht="14.25" customHeight="1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61"/>
      <c r="M7" s="15"/>
      <c r="N7" s="15"/>
    </row>
    <row r="8" spans="1:16" s="4" customFormat="1" ht="18" customHeigh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"/>
      <c r="L8" s="162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/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>
      <c r="A11" s="209"/>
      <c r="B11" s="211"/>
      <c r="C11" s="203"/>
      <c r="D11" s="205"/>
      <c r="E11" s="207"/>
      <c r="F11" s="207"/>
      <c r="G11" s="207"/>
      <c r="H11" s="207"/>
      <c r="I11" s="207"/>
      <c r="J11" s="207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61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61"/>
      <c r="M13" s="15"/>
      <c r="N13" s="15"/>
      <c r="O13" s="7"/>
    </row>
    <row r="14" spans="1:16" s="4" customFormat="1" ht="18" customHeigh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L14" s="171" t="s">
        <v>31</v>
      </c>
      <c r="M14" s="172"/>
      <c r="N14" s="173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63"/>
      <c r="M15" s="174" t="s">
        <v>32</v>
      </c>
      <c r="N15" s="17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164"/>
      <c r="M16" s="176" t="s">
        <v>33</v>
      </c>
      <c r="N16" s="177"/>
      <c r="P16" s="8"/>
    </row>
    <row r="17" spans="1:14" s="4" customFormat="1" ht="18" customHeigh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L17" s="165"/>
      <c r="M17" s="176" t="s">
        <v>35</v>
      </c>
      <c r="N17" s="177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06"/>
      <c r="L18" s="166"/>
      <c r="M18" s="178" t="s">
        <v>36</v>
      </c>
      <c r="N18" s="179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07"/>
      <c r="L19" s="167"/>
      <c r="M19" s="180" t="s">
        <v>37</v>
      </c>
      <c r="N19" s="181"/>
    </row>
    <row r="20" spans="1:14" s="4" customFormat="1">
      <c r="A20" s="209"/>
      <c r="B20" s="211"/>
      <c r="C20" s="203"/>
      <c r="D20" s="205"/>
      <c r="E20" s="12"/>
      <c r="F20" s="12"/>
      <c r="G20" s="12"/>
      <c r="H20" s="12"/>
      <c r="I20" s="12"/>
      <c r="J20" s="207"/>
      <c r="L20" s="168"/>
      <c r="M20" s="25" t="s">
        <v>38</v>
      </c>
      <c r="N20" s="26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49"/>
      <c r="H21" s="11"/>
      <c r="I21" s="11"/>
      <c r="J21" s="206"/>
      <c r="L21" s="169"/>
      <c r="M21" s="182" t="s">
        <v>39</v>
      </c>
      <c r="N21" s="183"/>
    </row>
    <row r="22" spans="1:14" s="4" customFormat="1" ht="18" customHeight="1">
      <c r="A22" s="209"/>
      <c r="B22" s="211"/>
      <c r="C22" s="203"/>
      <c r="D22" s="205"/>
      <c r="E22" s="12"/>
      <c r="F22" s="12"/>
      <c r="G22" s="50"/>
      <c r="H22" s="12"/>
      <c r="I22" s="12"/>
      <c r="J22" s="207"/>
      <c r="L22" s="1"/>
    </row>
    <row r="23" spans="1:14" s="4" customFormat="1" ht="18">
      <c r="A23" s="209"/>
      <c r="B23" s="211"/>
      <c r="C23" s="203"/>
      <c r="D23" s="205"/>
      <c r="E23" s="12"/>
      <c r="F23" s="12"/>
      <c r="G23" s="136"/>
      <c r="H23" s="12"/>
      <c r="I23" s="12"/>
      <c r="J23" s="207"/>
      <c r="K23" s="6"/>
      <c r="L23" s="191" t="str">
        <f>'11C2'!L25</f>
        <v>DATAS IMPORTANTES</v>
      </c>
      <c r="M23" s="191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11"/>
      <c r="F24" s="90"/>
      <c r="G24" s="89"/>
      <c r="H24" s="192" t="s">
        <v>171</v>
      </c>
      <c r="I24" s="187" t="s">
        <v>171</v>
      </c>
      <c r="J24" s="206"/>
      <c r="L24" s="161" t="str">
        <f>'11C2'!L26</f>
        <v>13.05</v>
      </c>
      <c r="M24" s="15" t="str">
        <f>'11C2'!M26</f>
        <v>AR</v>
      </c>
      <c r="N24" s="32"/>
    </row>
    <row r="25" spans="1:14" s="4" customFormat="1" ht="27.6" customHeight="1">
      <c r="A25" s="209"/>
      <c r="B25" s="211"/>
      <c r="C25" s="203"/>
      <c r="D25" s="205"/>
      <c r="E25" s="12"/>
      <c r="F25" s="91"/>
      <c r="G25" s="89"/>
      <c r="H25" s="193"/>
      <c r="I25" s="188"/>
      <c r="J25" s="207"/>
      <c r="L25" s="1" t="str">
        <f>'11C2'!L27</f>
        <v>27.04</v>
      </c>
      <c r="M25" s="4" t="str">
        <f>'11C2'!M27</f>
        <v>LANÇAMENTO DE NOTAS NO PORTAL</v>
      </c>
      <c r="N25" s="15"/>
    </row>
    <row r="26" spans="1:14" s="4" customFormat="1" ht="18" customHeight="1">
      <c r="A26" s="209"/>
      <c r="B26" s="211"/>
      <c r="C26" s="203"/>
      <c r="D26" s="205"/>
      <c r="E26" s="12"/>
      <c r="F26" s="91"/>
      <c r="G26" s="89"/>
      <c r="H26" s="193"/>
      <c r="I26" s="188"/>
      <c r="J26" s="207"/>
      <c r="L26" s="1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70" t="s">
        <v>165</v>
      </c>
      <c r="F27" s="93" t="s">
        <v>49</v>
      </c>
      <c r="G27" s="78"/>
      <c r="H27" s="206" t="s">
        <v>45</v>
      </c>
      <c r="I27" s="206" t="s">
        <v>45</v>
      </c>
      <c r="J27" s="206"/>
      <c r="L27" s="1"/>
    </row>
    <row r="28" spans="1:14" s="4" customFormat="1" ht="24">
      <c r="A28" s="209"/>
      <c r="B28" s="211"/>
      <c r="C28" s="203"/>
      <c r="D28" s="205"/>
      <c r="E28" s="71" t="s">
        <v>172</v>
      </c>
      <c r="F28" s="94" t="s">
        <v>173</v>
      </c>
      <c r="G28" s="12"/>
      <c r="H28" s="207"/>
      <c r="I28" s="207"/>
      <c r="J28" s="207"/>
      <c r="L28" s="1"/>
    </row>
    <row r="29" spans="1:14" s="4" customFormat="1" ht="18" customHeight="1">
      <c r="A29" s="208">
        <f>A27+1</f>
        <v>10</v>
      </c>
      <c r="B29" s="210">
        <f>D27+3</f>
        <v>46118</v>
      </c>
      <c r="C29" s="202" t="s">
        <v>12</v>
      </c>
      <c r="D29" s="204">
        <f t="shared" si="0"/>
        <v>46122</v>
      </c>
      <c r="E29" s="11"/>
      <c r="F29" s="112" t="s">
        <v>139</v>
      </c>
      <c r="G29" s="11"/>
      <c r="H29" s="11"/>
      <c r="I29" s="153" t="s">
        <v>174</v>
      </c>
      <c r="J29" s="206"/>
      <c r="L29" s="1"/>
    </row>
    <row r="30" spans="1:14" s="4" customFormat="1" ht="18" customHeight="1">
      <c r="A30" s="209"/>
      <c r="B30" s="211"/>
      <c r="C30" s="203"/>
      <c r="D30" s="205"/>
      <c r="E30" s="12"/>
      <c r="F30" s="113" t="s">
        <v>126</v>
      </c>
      <c r="G30" s="12"/>
      <c r="H30" s="12"/>
      <c r="I30" s="154" t="s">
        <v>55</v>
      </c>
      <c r="J30" s="207"/>
      <c r="L30" s="1"/>
    </row>
    <row r="31" spans="1:14" s="4" customFormat="1" ht="26.25" customHeight="1">
      <c r="A31" s="209"/>
      <c r="B31" s="211"/>
      <c r="C31" s="203"/>
      <c r="D31" s="205"/>
      <c r="E31" s="12"/>
      <c r="F31" s="113" t="s">
        <v>55</v>
      </c>
      <c r="G31" s="12"/>
      <c r="H31" s="12"/>
      <c r="I31" s="154" t="s">
        <v>175</v>
      </c>
      <c r="J31" s="207"/>
      <c r="L31" s="1"/>
    </row>
    <row r="32" spans="1:14" s="4" customFormat="1" ht="18" customHeight="1">
      <c r="A32" s="212">
        <f>A29+1</f>
        <v>11</v>
      </c>
      <c r="B32" s="214">
        <f>D29+3</f>
        <v>46125</v>
      </c>
      <c r="C32" s="217" t="s">
        <v>12</v>
      </c>
      <c r="D32" s="214">
        <f t="shared" si="0"/>
        <v>46129</v>
      </c>
      <c r="E32" s="11"/>
      <c r="F32" s="49"/>
      <c r="G32" s="110" t="s">
        <v>176</v>
      </c>
      <c r="H32" s="11"/>
      <c r="I32" s="95" t="s">
        <v>109</v>
      </c>
      <c r="J32" s="206"/>
      <c r="L32" s="1"/>
    </row>
    <row r="33" spans="1:12" s="4" customFormat="1" ht="18" customHeight="1">
      <c r="A33" s="213"/>
      <c r="B33" s="215"/>
      <c r="C33" s="218"/>
      <c r="D33" s="215"/>
      <c r="E33" s="12"/>
      <c r="F33" s="50"/>
      <c r="G33" s="111" t="s">
        <v>177</v>
      </c>
      <c r="H33" s="12"/>
      <c r="I33" s="96" t="s">
        <v>178</v>
      </c>
      <c r="J33" s="207"/>
      <c r="L33" s="1"/>
    </row>
    <row r="34" spans="1:12" s="4" customFormat="1" ht="18" customHeight="1">
      <c r="A34" s="213"/>
      <c r="B34" s="216"/>
      <c r="C34" s="218"/>
      <c r="D34" s="216"/>
      <c r="E34" s="12"/>
      <c r="F34" s="50"/>
      <c r="G34" s="111" t="s">
        <v>55</v>
      </c>
      <c r="H34" s="12"/>
      <c r="I34" s="96" t="s">
        <v>179</v>
      </c>
      <c r="J34" s="207"/>
      <c r="L34" s="1"/>
    </row>
    <row r="35" spans="1:12" s="4" customFormat="1" ht="18" customHeight="1">
      <c r="A35" s="208">
        <f>A32+1</f>
        <v>12</v>
      </c>
      <c r="B35" s="210">
        <f>D32+3</f>
        <v>46132</v>
      </c>
      <c r="C35" s="202" t="s">
        <v>12</v>
      </c>
      <c r="D35" s="204">
        <f>B35+4</f>
        <v>46136</v>
      </c>
      <c r="E35" s="11"/>
      <c r="F35" s="206" t="s">
        <v>45</v>
      </c>
      <c r="G35" s="11"/>
      <c r="H35" s="206" t="s">
        <v>45</v>
      </c>
      <c r="I35" s="99" t="s">
        <v>71</v>
      </c>
      <c r="J35" s="206"/>
      <c r="L35" s="1"/>
    </row>
    <row r="36" spans="1:12" s="4" customFormat="1" ht="18" customHeight="1">
      <c r="A36" s="209"/>
      <c r="B36" s="211"/>
      <c r="C36" s="203"/>
      <c r="D36" s="205"/>
      <c r="E36" s="12"/>
      <c r="F36" s="207"/>
      <c r="G36" s="12"/>
      <c r="H36" s="207"/>
      <c r="I36" s="98" t="s">
        <v>72</v>
      </c>
      <c r="J36" s="207"/>
      <c r="L36" s="1"/>
    </row>
    <row r="37" spans="1:12" s="4" customFormat="1" ht="18" customHeight="1">
      <c r="A37" s="209"/>
      <c r="B37" s="211"/>
      <c r="C37" s="203"/>
      <c r="D37" s="205"/>
      <c r="E37" s="12"/>
      <c r="F37" s="207"/>
      <c r="G37" s="12"/>
      <c r="H37" s="207"/>
      <c r="I37" s="98" t="s">
        <v>73</v>
      </c>
      <c r="J37" s="207"/>
      <c r="L37" s="1"/>
    </row>
    <row r="38" spans="1:12" s="4" customFormat="1" ht="18" customHeight="1">
      <c r="A38" s="208">
        <f>A35+1</f>
        <v>13</v>
      </c>
      <c r="B38" s="210">
        <f>D35+3</f>
        <v>46139</v>
      </c>
      <c r="C38" s="202" t="s">
        <v>12</v>
      </c>
      <c r="D38" s="204">
        <f t="shared" si="0"/>
        <v>46143</v>
      </c>
      <c r="E38" s="11"/>
      <c r="F38" s="11" t="s">
        <v>180</v>
      </c>
      <c r="G38" s="11"/>
      <c r="H38" s="156" t="s">
        <v>181</v>
      </c>
      <c r="I38" s="206" t="s">
        <v>45</v>
      </c>
      <c r="J38" s="206"/>
      <c r="L38" s="1"/>
    </row>
    <row r="39" spans="1:12" s="4" customFormat="1" ht="18" customHeight="1">
      <c r="A39" s="209"/>
      <c r="B39" s="211"/>
      <c r="C39" s="203"/>
      <c r="D39" s="205"/>
      <c r="E39" s="12"/>
      <c r="F39" s="12" t="s">
        <v>126</v>
      </c>
      <c r="G39" s="12"/>
      <c r="H39" s="157" t="s">
        <v>86</v>
      </c>
      <c r="I39" s="207"/>
      <c r="J39" s="207"/>
      <c r="L39" s="1"/>
    </row>
    <row r="40" spans="1:12" s="4" customFormat="1" ht="18" customHeight="1">
      <c r="A40" s="209"/>
      <c r="B40" s="211"/>
      <c r="C40" s="203"/>
      <c r="D40" s="205"/>
      <c r="E40" s="12"/>
      <c r="F40" s="12" t="s">
        <v>55</v>
      </c>
      <c r="G40" s="12"/>
      <c r="H40" s="157" t="s">
        <v>67</v>
      </c>
      <c r="I40" s="207"/>
      <c r="J40" s="207"/>
      <c r="L40" s="1"/>
    </row>
    <row r="41" spans="1:12" s="4" customFormat="1" ht="18" customHeight="1">
      <c r="A41" s="208">
        <f>A38+1</f>
        <v>14</v>
      </c>
      <c r="B41" s="210">
        <f>D38+3</f>
        <v>46146</v>
      </c>
      <c r="C41" s="202" t="s">
        <v>12</v>
      </c>
      <c r="D41" s="204">
        <f t="shared" si="0"/>
        <v>46150</v>
      </c>
      <c r="E41" s="11"/>
      <c r="F41" s="95" t="s">
        <v>50</v>
      </c>
      <c r="G41" s="11"/>
      <c r="H41" s="11"/>
      <c r="I41" s="11"/>
      <c r="J41" s="223" t="s">
        <v>77</v>
      </c>
      <c r="L41" s="1"/>
    </row>
    <row r="42" spans="1:12" s="4" customFormat="1" ht="18" customHeight="1">
      <c r="A42" s="209"/>
      <c r="B42" s="211"/>
      <c r="C42" s="203"/>
      <c r="D42" s="205"/>
      <c r="E42" s="12"/>
      <c r="F42" s="96" t="s">
        <v>182</v>
      </c>
      <c r="G42" s="12"/>
      <c r="H42" s="12"/>
      <c r="I42" s="12"/>
      <c r="J42" s="224"/>
      <c r="L42" s="1"/>
    </row>
    <row r="43" spans="1:12" s="4" customFormat="1" ht="18" customHeight="1">
      <c r="A43" s="209"/>
      <c r="B43" s="211"/>
      <c r="C43" s="203"/>
      <c r="D43" s="205"/>
      <c r="E43" s="12"/>
      <c r="F43" s="96" t="s">
        <v>179</v>
      </c>
      <c r="G43" s="12"/>
      <c r="H43" s="12"/>
      <c r="I43" s="12"/>
      <c r="J43" s="224"/>
      <c r="L43" s="1"/>
    </row>
    <row r="44" spans="1:12" s="4" customFormat="1" ht="18" customHeight="1">
      <c r="A44" s="208">
        <f>A41+1</f>
        <v>15</v>
      </c>
      <c r="B44" s="210">
        <f>D41+3</f>
        <v>46153</v>
      </c>
      <c r="C44" s="219" t="s">
        <v>12</v>
      </c>
      <c r="D44" s="204">
        <f>B44+4</f>
        <v>46157</v>
      </c>
      <c r="E44" s="11"/>
      <c r="F44" s="11"/>
      <c r="G44" s="11"/>
      <c r="H44" s="187" t="s">
        <v>183</v>
      </c>
      <c r="I44" s="187" t="s">
        <v>183</v>
      </c>
      <c r="J44" s="221"/>
      <c r="L44" s="1" t="s">
        <v>184</v>
      </c>
    </row>
    <row r="45" spans="1:12" s="4" customFormat="1" ht="18" customHeight="1">
      <c r="A45" s="209"/>
      <c r="B45" s="211"/>
      <c r="C45" s="220"/>
      <c r="D45" s="205"/>
      <c r="E45" s="12"/>
      <c r="F45" s="12"/>
      <c r="G45" s="12"/>
      <c r="H45" s="188"/>
      <c r="I45" s="188"/>
      <c r="J45" s="222"/>
      <c r="L45" s="1" t="s">
        <v>185</v>
      </c>
    </row>
    <row r="46" spans="1:12" s="4" customFormat="1" ht="18" customHeight="1">
      <c r="A46" s="209"/>
      <c r="B46" s="211"/>
      <c r="C46" s="220"/>
      <c r="D46" s="205"/>
      <c r="E46" s="12"/>
      <c r="F46" s="12"/>
      <c r="G46" s="12"/>
      <c r="H46" s="188"/>
      <c r="I46" s="188"/>
      <c r="J46" s="222"/>
      <c r="L46" s="1"/>
    </row>
    <row r="47" spans="1:12" s="4" customFormat="1" ht="18" customHeight="1">
      <c r="A47" s="208">
        <f>A44+1</f>
        <v>16</v>
      </c>
      <c r="B47" s="210">
        <f>D44+3</f>
        <v>46160</v>
      </c>
      <c r="C47" s="219" t="s">
        <v>12</v>
      </c>
      <c r="D47" s="204">
        <f t="shared" si="0"/>
        <v>46164</v>
      </c>
      <c r="E47" s="11"/>
      <c r="F47" s="151" t="s">
        <v>186</v>
      </c>
      <c r="G47" s="139" t="s">
        <v>119</v>
      </c>
      <c r="H47" s="11"/>
      <c r="I47" s="107" t="s">
        <v>154</v>
      </c>
      <c r="J47" s="227"/>
      <c r="L47" s="1" t="s">
        <v>187</v>
      </c>
    </row>
    <row r="48" spans="1:12" s="4" customFormat="1" ht="18" customHeight="1">
      <c r="A48" s="209"/>
      <c r="B48" s="211"/>
      <c r="C48" s="220"/>
      <c r="D48" s="205"/>
      <c r="E48" s="12"/>
      <c r="F48" s="152" t="s">
        <v>188</v>
      </c>
      <c r="G48" s="125" t="s">
        <v>189</v>
      </c>
      <c r="H48" s="12"/>
      <c r="I48" s="108" t="s">
        <v>124</v>
      </c>
      <c r="J48" s="228"/>
      <c r="L48" s="1" t="s">
        <v>185</v>
      </c>
    </row>
    <row r="49" spans="1:12" s="4" customFormat="1" ht="18" customHeight="1">
      <c r="A49" s="209"/>
      <c r="B49" s="211"/>
      <c r="C49" s="220"/>
      <c r="D49" s="205"/>
      <c r="E49" s="12"/>
      <c r="F49" s="152" t="s">
        <v>55</v>
      </c>
      <c r="G49" s="125" t="s">
        <v>190</v>
      </c>
      <c r="H49" s="12"/>
      <c r="I49" s="109" t="s">
        <v>25</v>
      </c>
      <c r="J49" s="228"/>
      <c r="L49" s="1"/>
    </row>
    <row r="50" spans="1:12" s="4" customFormat="1" ht="18" customHeight="1">
      <c r="A50" s="208">
        <f>A47+1</f>
        <v>17</v>
      </c>
      <c r="B50" s="210">
        <f>D47+3</f>
        <v>46167</v>
      </c>
      <c r="C50" s="219" t="s">
        <v>12</v>
      </c>
      <c r="D50" s="204">
        <f>B50+4</f>
        <v>46171</v>
      </c>
      <c r="E50" s="11"/>
      <c r="F50" s="93" t="s">
        <v>49</v>
      </c>
      <c r="G50" s="11"/>
      <c r="H50" s="11"/>
      <c r="I50" s="155" t="s">
        <v>174</v>
      </c>
      <c r="J50" s="225"/>
      <c r="L50" s="1" t="s">
        <v>191</v>
      </c>
    </row>
    <row r="51" spans="1:12" s="4" customFormat="1" ht="18" customHeight="1">
      <c r="A51" s="209"/>
      <c r="B51" s="211"/>
      <c r="C51" s="220"/>
      <c r="D51" s="205"/>
      <c r="E51" s="12"/>
      <c r="F51" s="94" t="s">
        <v>192</v>
      </c>
      <c r="G51" s="12"/>
      <c r="H51" s="12"/>
      <c r="I51" s="154" t="s">
        <v>55</v>
      </c>
      <c r="J51" s="226"/>
      <c r="L51" s="1" t="s">
        <v>193</v>
      </c>
    </row>
    <row r="52" spans="1:12" s="4" customFormat="1" ht="18" customHeight="1">
      <c r="A52" s="209"/>
      <c r="B52" s="211"/>
      <c r="C52" s="220"/>
      <c r="D52" s="205"/>
      <c r="E52" s="12"/>
      <c r="F52" s="94" t="s">
        <v>55</v>
      </c>
      <c r="G52" s="12"/>
      <c r="H52" s="12"/>
      <c r="I52" s="154" t="s">
        <v>175</v>
      </c>
      <c r="J52" s="226"/>
      <c r="L52" s="1"/>
    </row>
    <row r="53" spans="1:12" s="4" customFormat="1" ht="18" customHeight="1">
      <c r="A53" s="208">
        <f>A50+1</f>
        <v>18</v>
      </c>
      <c r="B53" s="210">
        <f>D50+3</f>
        <v>46174</v>
      </c>
      <c r="C53" s="219" t="s">
        <v>12</v>
      </c>
      <c r="D53" s="204">
        <f>B53+4</f>
        <v>46178</v>
      </c>
      <c r="E53" s="230" t="s">
        <v>84</v>
      </c>
      <c r="F53" s="230" t="s">
        <v>84</v>
      </c>
      <c r="G53" s="230" t="s">
        <v>84</v>
      </c>
      <c r="H53" s="206" t="s">
        <v>45</v>
      </c>
      <c r="I53" s="206" t="s">
        <v>45</v>
      </c>
      <c r="J53" s="229"/>
      <c r="L53" s="170" t="s">
        <v>194</v>
      </c>
    </row>
    <row r="54" spans="1:12" s="4" customFormat="1" ht="18" customHeight="1">
      <c r="A54" s="209"/>
      <c r="B54" s="211"/>
      <c r="C54" s="220"/>
      <c r="D54" s="205"/>
      <c r="E54" s="231"/>
      <c r="F54" s="231"/>
      <c r="G54" s="231"/>
      <c r="H54" s="207"/>
      <c r="I54" s="207"/>
      <c r="J54" s="226"/>
      <c r="L54" s="170" t="s">
        <v>195</v>
      </c>
    </row>
    <row r="55" spans="1:12" s="4" customFormat="1" ht="18" customHeight="1">
      <c r="A55" s="209"/>
      <c r="B55" s="211"/>
      <c r="C55" s="220"/>
      <c r="D55" s="205"/>
      <c r="E55" s="231"/>
      <c r="F55" s="231"/>
      <c r="G55" s="231"/>
      <c r="H55" s="207"/>
      <c r="I55" s="207"/>
      <c r="J55" s="226"/>
      <c r="L55" s="170" t="s">
        <v>196</v>
      </c>
    </row>
    <row r="56" spans="1:12" s="4" customFormat="1" ht="18" customHeight="1">
      <c r="A56" s="208">
        <f>A53+1</f>
        <v>19</v>
      </c>
      <c r="B56" s="210">
        <f>D53+3</f>
        <v>46181</v>
      </c>
      <c r="C56" s="219" t="s">
        <v>12</v>
      </c>
      <c r="D56" s="204">
        <f>B56+4</f>
        <v>46185</v>
      </c>
      <c r="E56" s="11"/>
      <c r="F56" s="134" t="s">
        <v>139</v>
      </c>
      <c r="G56" s="190" t="s">
        <v>197</v>
      </c>
      <c r="H56" s="11"/>
      <c r="I56" s="11" t="s">
        <v>198</v>
      </c>
      <c r="J56" s="206"/>
      <c r="L56" s="1"/>
    </row>
    <row r="57" spans="1:12" s="4" customFormat="1" ht="18" customHeight="1">
      <c r="A57" s="209"/>
      <c r="B57" s="211"/>
      <c r="C57" s="220"/>
      <c r="D57" s="205"/>
      <c r="E57" s="12"/>
      <c r="F57" s="135" t="s">
        <v>126</v>
      </c>
      <c r="G57" s="190"/>
      <c r="H57" s="12"/>
      <c r="I57" s="12" t="s">
        <v>110</v>
      </c>
      <c r="J57" s="207"/>
      <c r="L57" s="1"/>
    </row>
    <row r="58" spans="1:12" s="4" customFormat="1" ht="18" customHeight="1">
      <c r="A58" s="209"/>
      <c r="B58" s="211"/>
      <c r="C58" s="220"/>
      <c r="D58" s="205"/>
      <c r="E58" s="12"/>
      <c r="F58" s="135" t="s">
        <v>55</v>
      </c>
      <c r="G58" s="190"/>
      <c r="H58" s="12"/>
      <c r="I58" s="12" t="s">
        <v>55</v>
      </c>
      <c r="J58" s="207"/>
      <c r="L58" s="1"/>
    </row>
    <row r="59" spans="1:12" s="4" customFormat="1" ht="18" customHeight="1">
      <c r="A59" s="208">
        <f>A56+1</f>
        <v>20</v>
      </c>
      <c r="B59" s="210">
        <f>D56+3</f>
        <v>46188</v>
      </c>
      <c r="C59" s="219" t="s">
        <v>12</v>
      </c>
      <c r="D59" s="204">
        <f t="shared" si="0"/>
        <v>46192</v>
      </c>
      <c r="E59" s="99" t="s">
        <v>71</v>
      </c>
      <c r="F59" s="110" t="s">
        <v>176</v>
      </c>
      <c r="G59" s="78"/>
      <c r="I59" s="156" t="s">
        <v>181</v>
      </c>
      <c r="J59" s="223" t="s">
        <v>77</v>
      </c>
      <c r="L59" s="1"/>
    </row>
    <row r="60" spans="1:12" s="4" customFormat="1" ht="18" customHeight="1">
      <c r="A60" s="209"/>
      <c r="B60" s="211"/>
      <c r="C60" s="220"/>
      <c r="D60" s="205"/>
      <c r="E60" s="98" t="s">
        <v>199</v>
      </c>
      <c r="F60" s="111" t="s">
        <v>126</v>
      </c>
      <c r="G60" s="12"/>
      <c r="I60" s="157" t="s">
        <v>62</v>
      </c>
      <c r="J60" s="224"/>
      <c r="L60" s="1"/>
    </row>
    <row r="61" spans="1:12" s="4" customFormat="1" ht="18" customHeight="1">
      <c r="A61" s="209"/>
      <c r="B61" s="211"/>
      <c r="C61" s="220"/>
      <c r="D61" s="205"/>
      <c r="E61" s="98" t="s">
        <v>73</v>
      </c>
      <c r="F61" s="111" t="s">
        <v>55</v>
      </c>
      <c r="G61" s="12"/>
      <c r="I61" s="157" t="s">
        <v>67</v>
      </c>
      <c r="J61" s="224"/>
      <c r="L61" s="1"/>
    </row>
    <row r="62" spans="1:12" ht="18" customHeight="1">
      <c r="A62" s="232">
        <f t="shared" ref="A62" si="1">A59+1</f>
        <v>21</v>
      </c>
      <c r="B62" s="235">
        <f t="shared" ref="B62" si="2">D59+3</f>
        <v>46195</v>
      </c>
      <c r="C62" s="238" t="s">
        <v>12</v>
      </c>
      <c r="D62" s="235">
        <f t="shared" ref="D62" si="3">B62+4</f>
        <v>46199</v>
      </c>
      <c r="E62" s="11"/>
      <c r="F62" s="11"/>
      <c r="G62" s="11"/>
      <c r="H62" s="11"/>
      <c r="I62" s="11"/>
      <c r="J62" s="206"/>
    </row>
    <row r="63" spans="1:12" ht="18" customHeight="1">
      <c r="A63" s="233"/>
      <c r="B63" s="236"/>
      <c r="C63" s="239"/>
      <c r="D63" s="236"/>
      <c r="E63" s="12"/>
      <c r="F63" s="12"/>
      <c r="G63" s="12"/>
      <c r="H63" s="12"/>
      <c r="I63" s="12"/>
      <c r="J63" s="207"/>
    </row>
    <row r="64" spans="1:12" ht="18" customHeight="1">
      <c r="A64" s="234"/>
      <c r="B64" s="237"/>
      <c r="C64" s="240"/>
      <c r="D64" s="237"/>
      <c r="E64" s="13"/>
      <c r="F64" s="13"/>
      <c r="G64" s="13"/>
      <c r="H64" s="13"/>
      <c r="I64" s="13"/>
      <c r="J64" s="241"/>
    </row>
    <row r="65" spans="1:10" ht="18" customHeight="1">
      <c r="A65" s="232">
        <f t="shared" ref="A65" si="4">A62+1</f>
        <v>22</v>
      </c>
      <c r="B65" s="235">
        <f t="shared" ref="B65" si="5">D62+3</f>
        <v>46202</v>
      </c>
      <c r="C65" s="238" t="s">
        <v>12</v>
      </c>
      <c r="D65" s="235">
        <f t="shared" ref="D65" si="6">B65+4</f>
        <v>46206</v>
      </c>
      <c r="E65" s="11"/>
      <c r="F65" s="187" t="s">
        <v>200</v>
      </c>
      <c r="G65" s="187" t="s">
        <v>200</v>
      </c>
      <c r="H65" s="11"/>
      <c r="I65" s="11"/>
      <c r="J65" s="206"/>
    </row>
    <row r="66" spans="1:10" ht="18" customHeight="1">
      <c r="A66" s="233"/>
      <c r="B66" s="236"/>
      <c r="C66" s="239"/>
      <c r="D66" s="236"/>
      <c r="E66" s="12"/>
      <c r="F66" s="188"/>
      <c r="G66" s="188"/>
      <c r="H66" s="12"/>
      <c r="I66" s="12"/>
      <c r="J66" s="207"/>
    </row>
    <row r="67" spans="1:10" ht="18" customHeight="1">
      <c r="A67" s="234"/>
      <c r="B67" s="237"/>
      <c r="C67" s="240"/>
      <c r="D67" s="237"/>
      <c r="E67" s="13"/>
      <c r="F67" s="189"/>
      <c r="G67" s="189"/>
      <c r="H67" s="13"/>
      <c r="I67" s="13"/>
      <c r="J67" s="241"/>
    </row>
    <row r="68" spans="1:10" ht="18" customHeight="1">
      <c r="A68" s="232">
        <f>A65+1</f>
        <v>23</v>
      </c>
      <c r="B68" s="235">
        <f t="shared" ref="B68" si="7">D65+3</f>
        <v>46209</v>
      </c>
      <c r="C68" s="238" t="s">
        <v>12</v>
      </c>
      <c r="D68" s="235">
        <f t="shared" ref="D68" si="8">B68+4</f>
        <v>46213</v>
      </c>
      <c r="E68" s="184" t="s">
        <v>161</v>
      </c>
      <c r="F68" s="242" t="s">
        <v>162</v>
      </c>
      <c r="G68" s="184" t="s">
        <v>161</v>
      </c>
      <c r="J68" s="206"/>
    </row>
    <row r="69" spans="1:10" ht="18" customHeight="1">
      <c r="A69" s="233"/>
      <c r="B69" s="236"/>
      <c r="C69" s="239"/>
      <c r="D69" s="236"/>
      <c r="E69" s="185"/>
      <c r="F69" s="243"/>
      <c r="G69" s="185"/>
      <c r="J69" s="207"/>
    </row>
    <row r="70" spans="1:10" ht="18" customHeight="1">
      <c r="A70" s="234"/>
      <c r="B70" s="237"/>
      <c r="C70" s="240"/>
      <c r="D70" s="237"/>
      <c r="E70" s="186"/>
      <c r="F70" s="244"/>
      <c r="G70" s="186"/>
      <c r="J70" s="241"/>
    </row>
    <row r="71" spans="1:10" ht="15" customHeight="1">
      <c r="A71" s="41"/>
    </row>
    <row r="72" spans="1:10" ht="15" customHeight="1">
      <c r="A72" s="41"/>
    </row>
  </sheetData>
  <mergeCells count="150">
    <mergeCell ref="C68:C70"/>
    <mergeCell ref="D68:D70"/>
    <mergeCell ref="J65:J67"/>
    <mergeCell ref="J68:J70"/>
    <mergeCell ref="A65:A67"/>
    <mergeCell ref="B65:B67"/>
    <mergeCell ref="C65:C67"/>
    <mergeCell ref="D65:D67"/>
    <mergeCell ref="A68:A70"/>
    <mergeCell ref="B68:B70"/>
    <mergeCell ref="F68:F70"/>
    <mergeCell ref="A62:A64"/>
    <mergeCell ref="B62:B64"/>
    <mergeCell ref="C62:C64"/>
    <mergeCell ref="D62:D64"/>
    <mergeCell ref="J62:J64"/>
    <mergeCell ref="A59:A61"/>
    <mergeCell ref="B59:B61"/>
    <mergeCell ref="C59:C61"/>
    <mergeCell ref="D59:D61"/>
    <mergeCell ref="J59:J61"/>
    <mergeCell ref="A56:A58"/>
    <mergeCell ref="B56:B58"/>
    <mergeCell ref="C56:C58"/>
    <mergeCell ref="D56:D58"/>
    <mergeCell ref="J56:J58"/>
    <mergeCell ref="A53:A55"/>
    <mergeCell ref="B53:B55"/>
    <mergeCell ref="C53:C55"/>
    <mergeCell ref="D53:D55"/>
    <mergeCell ref="J53:J55"/>
    <mergeCell ref="E53:E55"/>
    <mergeCell ref="F53:F55"/>
    <mergeCell ref="G53:G55"/>
    <mergeCell ref="H53:H55"/>
    <mergeCell ref="I53:I55"/>
    <mergeCell ref="A50:A52"/>
    <mergeCell ref="B50:B52"/>
    <mergeCell ref="C50:C52"/>
    <mergeCell ref="D50:D52"/>
    <mergeCell ref="J50:J52"/>
    <mergeCell ref="A47:A49"/>
    <mergeCell ref="B47:B49"/>
    <mergeCell ref="C47:C49"/>
    <mergeCell ref="D47:D49"/>
    <mergeCell ref="J47:J49"/>
    <mergeCell ref="A44:A46"/>
    <mergeCell ref="B44:B46"/>
    <mergeCell ref="C44:C46"/>
    <mergeCell ref="D44:D46"/>
    <mergeCell ref="J44:J46"/>
    <mergeCell ref="A41:A43"/>
    <mergeCell ref="B41:B43"/>
    <mergeCell ref="C41:C43"/>
    <mergeCell ref="D41:D43"/>
    <mergeCell ref="J41:J43"/>
    <mergeCell ref="A38:A40"/>
    <mergeCell ref="B38:B40"/>
    <mergeCell ref="C38:C40"/>
    <mergeCell ref="D38:D40"/>
    <mergeCell ref="J38:J40"/>
    <mergeCell ref="A35:A37"/>
    <mergeCell ref="B35:B37"/>
    <mergeCell ref="C35:C37"/>
    <mergeCell ref="D35:D37"/>
    <mergeCell ref="J35:J37"/>
    <mergeCell ref="H35:H37"/>
    <mergeCell ref="F35:F37"/>
    <mergeCell ref="I38:I40"/>
    <mergeCell ref="A32:A34"/>
    <mergeCell ref="B32:B34"/>
    <mergeCell ref="C32:C34"/>
    <mergeCell ref="D32:D34"/>
    <mergeCell ref="J32:J34"/>
    <mergeCell ref="A29:A31"/>
    <mergeCell ref="B29:B31"/>
    <mergeCell ref="C29:C31"/>
    <mergeCell ref="D29:D31"/>
    <mergeCell ref="J29:J31"/>
    <mergeCell ref="A27:A28"/>
    <mergeCell ref="B27:B28"/>
    <mergeCell ref="C27:C28"/>
    <mergeCell ref="D27:D28"/>
    <mergeCell ref="J27:J28"/>
    <mergeCell ref="A24:A26"/>
    <mergeCell ref="B24:B26"/>
    <mergeCell ref="C24:C26"/>
    <mergeCell ref="D24:D26"/>
    <mergeCell ref="J24:J26"/>
    <mergeCell ref="H27:H28"/>
    <mergeCell ref="I27:I28"/>
    <mergeCell ref="A21:A23"/>
    <mergeCell ref="B21:B23"/>
    <mergeCell ref="C21:C23"/>
    <mergeCell ref="D21:D23"/>
    <mergeCell ref="J21:J23"/>
    <mergeCell ref="A18:A20"/>
    <mergeCell ref="B18:B20"/>
    <mergeCell ref="C18:C20"/>
    <mergeCell ref="D18:D20"/>
    <mergeCell ref="J18:J20"/>
    <mergeCell ref="J9:J11"/>
    <mergeCell ref="J3:J5"/>
    <mergeCell ref="A6:A8"/>
    <mergeCell ref="B6:B8"/>
    <mergeCell ref="C6:C8"/>
    <mergeCell ref="D6:D8"/>
    <mergeCell ref="J6:J8"/>
    <mergeCell ref="A15:A17"/>
    <mergeCell ref="B15:B17"/>
    <mergeCell ref="C15:C17"/>
    <mergeCell ref="D15:D17"/>
    <mergeCell ref="J15:J17"/>
    <mergeCell ref="A12:A14"/>
    <mergeCell ref="B12:B14"/>
    <mergeCell ref="C12:C14"/>
    <mergeCell ref="D12:D14"/>
    <mergeCell ref="J12:J14"/>
    <mergeCell ref="A1:I1"/>
    <mergeCell ref="B2:D2"/>
    <mergeCell ref="A3:A5"/>
    <mergeCell ref="B3:B5"/>
    <mergeCell ref="C3:C5"/>
    <mergeCell ref="D3:D5"/>
    <mergeCell ref="E9:E11"/>
    <mergeCell ref="F9:F11"/>
    <mergeCell ref="G9:G11"/>
    <mergeCell ref="H9:H11"/>
    <mergeCell ref="I9:I11"/>
    <mergeCell ref="A9:A11"/>
    <mergeCell ref="B9:B11"/>
    <mergeCell ref="C9:C11"/>
    <mergeCell ref="D9:D11"/>
    <mergeCell ref="L14:N14"/>
    <mergeCell ref="M15:N15"/>
    <mergeCell ref="M16:N16"/>
    <mergeCell ref="M17:N17"/>
    <mergeCell ref="M18:N18"/>
    <mergeCell ref="M19:N19"/>
    <mergeCell ref="M21:N21"/>
    <mergeCell ref="E68:E70"/>
    <mergeCell ref="G68:G70"/>
    <mergeCell ref="F65:F67"/>
    <mergeCell ref="G65:G67"/>
    <mergeCell ref="H44:H46"/>
    <mergeCell ref="I44:I46"/>
    <mergeCell ref="G56:G58"/>
    <mergeCell ref="L23:M23"/>
    <mergeCell ref="H24:H26"/>
    <mergeCell ref="I24:I26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75A6-423F-8A42-83B6-0BA7AA197A9D}">
  <sheetPr>
    <pageSetUpPr fitToPage="1"/>
  </sheetPr>
  <dimension ref="A1:P71"/>
  <sheetViews>
    <sheetView topLeftCell="A41" zoomScaleNormal="100" zoomScaleSheetLayoutView="120" workbookViewId="0">
      <selection activeCell="I60" sqref="I60:I62"/>
    </sheetView>
  </sheetViews>
  <sheetFormatPr defaultColWidth="0.44140625" defaultRowHeight="15" customHeight="1"/>
  <cols>
    <col min="1" max="1" width="4" style="2" customWidth="1"/>
    <col min="2" max="2" width="11.5546875" customWidth="1"/>
    <col min="3" max="3" width="2.88671875" customWidth="1"/>
    <col min="4" max="4" width="11.33203125" customWidth="1"/>
    <col min="5" max="9" width="12.109375" style="3" customWidth="1"/>
    <col min="10" max="10" width="14.77734375" style="3" customWidth="1"/>
    <col min="11" max="11" width="4.33203125" customWidth="1"/>
    <col min="12" max="12" width="12.33203125" customWidth="1"/>
    <col min="13" max="13" width="12.5546875" customWidth="1"/>
    <col min="14" max="14" width="27.6640625" customWidth="1"/>
    <col min="15" max="15" width="9" customWidth="1"/>
    <col min="16" max="16" width="21.33203125" customWidth="1"/>
  </cols>
  <sheetData>
    <row r="1" spans="1:16" ht="35.1" customHeight="1">
      <c r="A1" s="194" t="s">
        <v>201</v>
      </c>
      <c r="B1" s="194"/>
      <c r="C1" s="194"/>
      <c r="D1" s="194"/>
      <c r="E1" s="194"/>
      <c r="F1" s="194"/>
      <c r="G1" s="194"/>
      <c r="H1" s="194"/>
      <c r="I1" s="194"/>
      <c r="J1" s="146" t="s">
        <v>202</v>
      </c>
      <c r="N1" s="5"/>
      <c r="O1" s="5"/>
      <c r="P1" s="5"/>
    </row>
    <row r="2" spans="1:16" s="4" customFormat="1" ht="29.25" thickBot="1">
      <c r="A2" s="34" t="s">
        <v>3</v>
      </c>
      <c r="B2" s="195" t="s">
        <v>4</v>
      </c>
      <c r="C2" s="196"/>
      <c r="D2" s="197"/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10" t="s">
        <v>10</v>
      </c>
      <c r="K2"/>
    </row>
    <row r="3" spans="1:16" s="4" customFormat="1" ht="14.25">
      <c r="A3" s="198">
        <v>1</v>
      </c>
      <c r="B3" s="200">
        <v>46055</v>
      </c>
      <c r="C3" s="202" t="s">
        <v>12</v>
      </c>
      <c r="D3" s="204">
        <f>B3+4</f>
        <v>46059</v>
      </c>
      <c r="E3" s="11" t="s">
        <v>13</v>
      </c>
      <c r="F3" s="11" t="s">
        <v>14</v>
      </c>
      <c r="G3" s="11"/>
      <c r="H3" s="11"/>
      <c r="I3" s="11"/>
      <c r="J3" s="206"/>
      <c r="K3" s="9"/>
      <c r="L3" s="12" t="s">
        <v>13</v>
      </c>
      <c r="M3" s="12" t="s">
        <v>14</v>
      </c>
      <c r="N3" s="15"/>
    </row>
    <row r="4" spans="1:16" s="4" customFormat="1" ht="14.25">
      <c r="A4" s="199"/>
      <c r="B4" s="201"/>
      <c r="C4" s="203"/>
      <c r="D4" s="205"/>
      <c r="E4" s="12" t="s">
        <v>15</v>
      </c>
      <c r="F4" s="12" t="s">
        <v>16</v>
      </c>
      <c r="G4" s="12"/>
      <c r="H4" s="12"/>
      <c r="I4" s="12"/>
      <c r="J4" s="207"/>
      <c r="K4" s="9"/>
      <c r="L4" s="12" t="s">
        <v>15</v>
      </c>
      <c r="M4" s="12" t="s">
        <v>16</v>
      </c>
      <c r="N4" s="15"/>
    </row>
    <row r="5" spans="1:16" s="4" customFormat="1" thickBot="1">
      <c r="A5" s="199"/>
      <c r="B5" s="201"/>
      <c r="C5" s="203"/>
      <c r="D5" s="205"/>
      <c r="E5" s="14" t="s">
        <v>17</v>
      </c>
      <c r="F5" s="12" t="s">
        <v>18</v>
      </c>
      <c r="G5" s="12"/>
      <c r="H5" s="12"/>
      <c r="I5" s="12"/>
      <c r="J5" s="207"/>
      <c r="K5" s="9"/>
      <c r="L5" s="12" t="s">
        <v>17</v>
      </c>
      <c r="M5" s="12" t="s">
        <v>18</v>
      </c>
      <c r="N5" s="15"/>
    </row>
    <row r="6" spans="1:16" s="4" customFormat="1" ht="14.25">
      <c r="A6" s="208">
        <f>A3+1</f>
        <v>2</v>
      </c>
      <c r="B6" s="210">
        <f>D3+3</f>
        <v>46062</v>
      </c>
      <c r="C6" s="202" t="s">
        <v>12</v>
      </c>
      <c r="D6" s="204">
        <f t="shared" ref="D6:D60" si="0">B6+4</f>
        <v>46066</v>
      </c>
      <c r="E6" s="11"/>
      <c r="F6" s="11"/>
      <c r="G6" s="11"/>
      <c r="H6" s="11"/>
      <c r="I6" s="11"/>
      <c r="J6" s="206"/>
      <c r="K6" s="1"/>
      <c r="L6" s="15"/>
      <c r="M6" s="15"/>
      <c r="N6" s="15"/>
    </row>
    <row r="7" spans="1:16" s="4" customFormat="1" ht="14.25">
      <c r="A7" s="209"/>
      <c r="B7" s="211"/>
      <c r="C7" s="203"/>
      <c r="D7" s="205"/>
      <c r="E7" s="12"/>
      <c r="F7" s="12"/>
      <c r="G7" s="12"/>
      <c r="H7" s="12"/>
      <c r="I7" s="12"/>
      <c r="J7" s="207"/>
      <c r="K7" s="1"/>
      <c r="L7" s="15"/>
      <c r="M7" s="15"/>
      <c r="N7" s="15"/>
    </row>
    <row r="8" spans="1:16" s="4" customFormat="1" ht="18" customHeight="1" thickBot="1">
      <c r="A8" s="209"/>
      <c r="B8" s="211"/>
      <c r="C8" s="203"/>
      <c r="D8" s="205"/>
      <c r="E8" s="12"/>
      <c r="F8" s="12"/>
      <c r="G8" s="12"/>
      <c r="H8" s="12"/>
      <c r="I8" s="12"/>
      <c r="J8" s="207"/>
      <c r="K8" s="1"/>
      <c r="L8" s="33" t="s">
        <v>19</v>
      </c>
      <c r="M8" s="33" t="s">
        <v>20</v>
      </c>
      <c r="N8" s="15"/>
    </row>
    <row r="9" spans="1:16" s="4" customFormat="1" ht="18" customHeight="1">
      <c r="A9" s="208">
        <f>A6+1</f>
        <v>3</v>
      </c>
      <c r="B9" s="210">
        <f>D6+3</f>
        <v>46069</v>
      </c>
      <c r="C9" s="202" t="s">
        <v>12</v>
      </c>
      <c r="D9" s="204">
        <f t="shared" si="0"/>
        <v>46073</v>
      </c>
      <c r="E9" s="206" t="s">
        <v>45</v>
      </c>
      <c r="F9" s="206" t="s">
        <v>45</v>
      </c>
      <c r="G9" s="206" t="s">
        <v>45</v>
      </c>
      <c r="H9" s="206" t="s">
        <v>45</v>
      </c>
      <c r="I9" s="206" t="s">
        <v>45</v>
      </c>
      <c r="J9" s="206" t="s">
        <v>45</v>
      </c>
      <c r="L9" s="16" t="s">
        <v>22</v>
      </c>
      <c r="M9" s="16" t="s">
        <v>23</v>
      </c>
      <c r="N9" s="15"/>
    </row>
    <row r="10" spans="1:16" s="4" customFormat="1" ht="18" customHeight="1">
      <c r="A10" s="209"/>
      <c r="B10" s="211"/>
      <c r="C10" s="203"/>
      <c r="D10" s="205"/>
      <c r="E10" s="207"/>
      <c r="F10" s="207"/>
      <c r="G10" s="207"/>
      <c r="H10" s="207"/>
      <c r="I10" s="207"/>
      <c r="J10" s="207"/>
      <c r="L10" s="16" t="s">
        <v>24</v>
      </c>
      <c r="M10" s="16" t="s">
        <v>25</v>
      </c>
      <c r="N10" s="15"/>
    </row>
    <row r="11" spans="1:16" s="4" customFormat="1" ht="18" customHeight="1" thickBot="1">
      <c r="A11" s="209"/>
      <c r="B11" s="211"/>
      <c r="C11" s="203"/>
      <c r="D11" s="205"/>
      <c r="E11" s="207"/>
      <c r="F11" s="207"/>
      <c r="G11" s="207"/>
      <c r="H11" s="207"/>
      <c r="I11" s="207"/>
      <c r="J11" s="207"/>
      <c r="L11" s="16" t="s">
        <v>26</v>
      </c>
      <c r="M11" s="16" t="s">
        <v>27</v>
      </c>
      <c r="N11" s="15"/>
    </row>
    <row r="12" spans="1:16" s="4" customFormat="1" ht="18" customHeight="1">
      <c r="A12" s="208">
        <f>A9+1</f>
        <v>4</v>
      </c>
      <c r="B12" s="210">
        <f>D9+3</f>
        <v>46076</v>
      </c>
      <c r="C12" s="202" t="s">
        <v>12</v>
      </c>
      <c r="D12" s="204">
        <f t="shared" si="0"/>
        <v>46080</v>
      </c>
      <c r="E12" s="11"/>
      <c r="F12" s="11"/>
      <c r="G12" s="11"/>
      <c r="H12" s="11"/>
      <c r="I12" s="11"/>
      <c r="J12" s="206"/>
      <c r="L12" s="15"/>
      <c r="M12" s="15"/>
      <c r="N12" s="15"/>
      <c r="O12" s="7"/>
    </row>
    <row r="13" spans="1:16" s="4" customFormat="1" ht="18" customHeight="1">
      <c r="A13" s="209"/>
      <c r="B13" s="211"/>
      <c r="C13" s="203"/>
      <c r="D13" s="205"/>
      <c r="E13" s="12"/>
      <c r="F13" s="12"/>
      <c r="G13" s="12"/>
      <c r="H13" s="12"/>
      <c r="I13" s="12"/>
      <c r="J13" s="207"/>
      <c r="L13" s="15"/>
      <c r="M13" s="15"/>
      <c r="N13" s="15"/>
      <c r="O13" s="7"/>
    </row>
    <row r="14" spans="1:16" s="4" customFormat="1" ht="18" customHeight="1" thickBot="1">
      <c r="A14" s="209"/>
      <c r="B14" s="211"/>
      <c r="C14" s="203"/>
      <c r="D14" s="205"/>
      <c r="E14" s="12"/>
      <c r="F14" s="12"/>
      <c r="G14" s="12"/>
      <c r="H14" s="12"/>
      <c r="I14" s="12"/>
      <c r="J14" s="207"/>
      <c r="L14" s="15"/>
      <c r="M14" s="15"/>
      <c r="N14" s="15"/>
      <c r="O14" s="7"/>
    </row>
    <row r="15" spans="1:16" s="4" customFormat="1" ht="18" customHeight="1">
      <c r="A15" s="208">
        <f>A12+1</f>
        <v>5</v>
      </c>
      <c r="B15" s="210">
        <f>D12+3</f>
        <v>46083</v>
      </c>
      <c r="C15" s="202" t="s">
        <v>12</v>
      </c>
      <c r="D15" s="204">
        <f t="shared" si="0"/>
        <v>46087</v>
      </c>
      <c r="E15" s="11"/>
      <c r="F15" s="11"/>
      <c r="G15" s="11"/>
      <c r="H15" s="11"/>
      <c r="I15" s="11"/>
      <c r="J15" s="206"/>
      <c r="L15" s="17"/>
      <c r="M15" s="15"/>
      <c r="N15" s="15"/>
    </row>
    <row r="16" spans="1:16" s="4" customFormat="1" ht="18" customHeight="1">
      <c r="A16" s="209"/>
      <c r="B16" s="211"/>
      <c r="C16" s="203"/>
      <c r="D16" s="205"/>
      <c r="E16" s="12"/>
      <c r="F16" s="12"/>
      <c r="G16" s="12"/>
      <c r="H16" s="12"/>
      <c r="I16" s="12"/>
      <c r="J16" s="207"/>
      <c r="L16" s="245"/>
      <c r="M16" s="245"/>
      <c r="N16" s="245"/>
      <c r="P16" s="8"/>
    </row>
    <row r="17" spans="1:14" s="4" customFormat="1" ht="18" customHeight="1" thickBot="1">
      <c r="A17" s="209"/>
      <c r="B17" s="211"/>
      <c r="C17" s="203"/>
      <c r="D17" s="205"/>
      <c r="E17" s="12"/>
      <c r="F17" s="12"/>
      <c r="G17" s="12"/>
      <c r="H17" s="12"/>
      <c r="I17" s="12"/>
      <c r="J17" s="207"/>
      <c r="L17" s="245"/>
      <c r="M17" s="245"/>
      <c r="N17" s="245"/>
    </row>
    <row r="18" spans="1:14" s="4" customFormat="1" ht="18" customHeight="1">
      <c r="A18" s="208">
        <f>A15+1</f>
        <v>6</v>
      </c>
      <c r="B18" s="210">
        <f>D15+3</f>
        <v>46090</v>
      </c>
      <c r="C18" s="202" t="s">
        <v>12</v>
      </c>
      <c r="D18" s="204">
        <f>B18+4</f>
        <v>46094</v>
      </c>
      <c r="E18" s="11"/>
      <c r="F18" s="11"/>
      <c r="G18" s="11"/>
      <c r="H18" s="11"/>
      <c r="I18" s="11"/>
      <c r="J18" s="206"/>
      <c r="L18" s="17"/>
      <c r="M18" s="15"/>
      <c r="N18" s="15"/>
    </row>
    <row r="19" spans="1:14" s="4" customFormat="1" ht="18" customHeight="1">
      <c r="A19" s="209"/>
      <c r="B19" s="211"/>
      <c r="C19" s="203"/>
      <c r="D19" s="205"/>
      <c r="E19" s="12"/>
      <c r="F19" s="12"/>
      <c r="G19" s="12"/>
      <c r="H19" s="12"/>
      <c r="I19" s="12"/>
      <c r="J19" s="207"/>
      <c r="L19" s="245"/>
      <c r="M19" s="245"/>
      <c r="N19" s="245"/>
    </row>
    <row r="20" spans="1:14" s="4" customFormat="1" thickBot="1">
      <c r="A20" s="209"/>
      <c r="B20" s="211"/>
      <c r="C20" s="203"/>
      <c r="D20" s="205"/>
      <c r="E20" s="12"/>
      <c r="F20" s="12"/>
      <c r="G20" s="12"/>
      <c r="H20" s="12"/>
      <c r="I20" s="12"/>
      <c r="J20" s="207"/>
      <c r="L20" s="245"/>
      <c r="M20" s="245"/>
      <c r="N20" s="245"/>
    </row>
    <row r="21" spans="1:14" s="4" customFormat="1" ht="18" customHeight="1">
      <c r="A21" s="208">
        <f>A18+1</f>
        <v>7</v>
      </c>
      <c r="B21" s="210">
        <f>D18+3</f>
        <v>46097</v>
      </c>
      <c r="C21" s="202" t="s">
        <v>12</v>
      </c>
      <c r="D21" s="204">
        <f t="shared" si="0"/>
        <v>46101</v>
      </c>
      <c r="E21" s="11"/>
      <c r="F21" s="11"/>
      <c r="G21" s="49"/>
      <c r="H21" s="11"/>
      <c r="I21" s="11"/>
      <c r="J21" s="206"/>
      <c r="L21" s="15"/>
      <c r="M21" s="15"/>
      <c r="N21" s="15"/>
    </row>
    <row r="22" spans="1:14" s="4" customFormat="1" ht="18" customHeight="1">
      <c r="A22" s="209"/>
      <c r="B22" s="211"/>
      <c r="C22" s="203"/>
      <c r="D22" s="205"/>
      <c r="E22" s="12"/>
      <c r="F22" s="12"/>
      <c r="G22" s="50"/>
      <c r="H22" s="12"/>
      <c r="I22" s="12"/>
      <c r="J22" s="207"/>
      <c r="L22" s="18"/>
      <c r="M22" s="18"/>
      <c r="N22" s="18"/>
    </row>
    <row r="23" spans="1:14" s="4" customFormat="1" ht="18" customHeight="1">
      <c r="A23" s="209"/>
      <c r="B23" s="211"/>
      <c r="C23" s="203"/>
      <c r="D23" s="205"/>
      <c r="E23" s="12"/>
      <c r="F23" s="12"/>
      <c r="G23" s="51"/>
      <c r="H23" s="14"/>
      <c r="I23" s="14"/>
      <c r="J23" s="207"/>
      <c r="K23" s="6"/>
      <c r="L23" s="19"/>
      <c r="M23" s="19"/>
      <c r="N23" s="15"/>
    </row>
    <row r="24" spans="1:14" s="4" customFormat="1" ht="18" customHeight="1">
      <c r="A24" s="208">
        <f>A21+1</f>
        <v>8</v>
      </c>
      <c r="B24" s="210">
        <f>D21+3</f>
        <v>46104</v>
      </c>
      <c r="C24" s="202" t="s">
        <v>12</v>
      </c>
      <c r="D24" s="204">
        <f t="shared" si="0"/>
        <v>46108</v>
      </c>
      <c r="E24" s="49"/>
      <c r="F24" s="49"/>
      <c r="G24" s="90"/>
      <c r="H24" s="187" t="s">
        <v>171</v>
      </c>
      <c r="I24" s="187" t="s">
        <v>171</v>
      </c>
      <c r="J24" s="328"/>
      <c r="L24" s="171" t="s">
        <v>31</v>
      </c>
      <c r="M24" s="172"/>
      <c r="N24" s="173"/>
    </row>
    <row r="25" spans="1:14" s="4" customFormat="1" ht="18" customHeight="1">
      <c r="A25" s="209"/>
      <c r="B25" s="211"/>
      <c r="C25" s="203"/>
      <c r="D25" s="205"/>
      <c r="E25" s="50"/>
      <c r="F25" s="50"/>
      <c r="G25" s="91"/>
      <c r="H25" s="188"/>
      <c r="I25" s="188"/>
      <c r="J25" s="329"/>
      <c r="L25" s="46"/>
      <c r="M25" s="174" t="s">
        <v>32</v>
      </c>
      <c r="N25" s="175"/>
    </row>
    <row r="26" spans="1:14" s="4" customFormat="1" ht="18" customHeight="1">
      <c r="A26" s="209"/>
      <c r="B26" s="211"/>
      <c r="C26" s="203"/>
      <c r="D26" s="205"/>
      <c r="E26" s="51"/>
      <c r="F26" s="51"/>
      <c r="G26" s="91"/>
      <c r="H26" s="188"/>
      <c r="I26" s="188"/>
      <c r="J26" s="329"/>
      <c r="L26" s="45"/>
      <c r="M26" s="176" t="s">
        <v>33</v>
      </c>
      <c r="N26" s="177"/>
    </row>
    <row r="27" spans="1:14" s="4" customFormat="1" ht="18" customHeight="1">
      <c r="A27" s="208">
        <f>A24+1</f>
        <v>9</v>
      </c>
      <c r="B27" s="210">
        <f>D24+3</f>
        <v>46111</v>
      </c>
      <c r="C27" s="202" t="s">
        <v>12</v>
      </c>
      <c r="D27" s="204">
        <f>B27+4</f>
        <v>46115</v>
      </c>
      <c r="E27" s="70" t="s">
        <v>165</v>
      </c>
      <c r="F27" s="93" t="s">
        <v>49</v>
      </c>
      <c r="G27" s="11"/>
      <c r="H27" s="330" t="s">
        <v>45</v>
      </c>
      <c r="I27" s="331" t="s">
        <v>45</v>
      </c>
      <c r="J27" s="328"/>
      <c r="L27" s="47"/>
      <c r="M27" s="176" t="s">
        <v>35</v>
      </c>
      <c r="N27" s="177"/>
    </row>
    <row r="28" spans="1:14" s="4" customFormat="1">
      <c r="A28" s="209"/>
      <c r="B28" s="211"/>
      <c r="C28" s="203"/>
      <c r="D28" s="205"/>
      <c r="E28" s="71" t="s">
        <v>203</v>
      </c>
      <c r="F28" s="94" t="s">
        <v>192</v>
      </c>
      <c r="G28" s="12"/>
      <c r="H28" s="330"/>
      <c r="I28" s="332"/>
      <c r="J28" s="329"/>
      <c r="L28" s="23"/>
      <c r="M28" s="178" t="s">
        <v>36</v>
      </c>
      <c r="N28" s="179"/>
    </row>
    <row r="29" spans="1:14" s="4" customFormat="1" ht="24">
      <c r="A29" s="209"/>
      <c r="B29" s="211"/>
      <c r="C29" s="203"/>
      <c r="D29" s="205"/>
      <c r="E29" s="71" t="s">
        <v>204</v>
      </c>
      <c r="F29" s="94" t="s">
        <v>55</v>
      </c>
      <c r="G29" s="12"/>
      <c r="H29" s="330"/>
      <c r="I29" s="333"/>
      <c r="J29" s="329"/>
      <c r="L29" s="48"/>
      <c r="M29" s="180" t="s">
        <v>37</v>
      </c>
      <c r="N29" s="181"/>
    </row>
    <row r="30" spans="1:14" s="4" customFormat="1" ht="18" customHeight="1">
      <c r="A30" s="208">
        <f>A27+1</f>
        <v>10</v>
      </c>
      <c r="B30" s="210">
        <f>D27+3</f>
        <v>46118</v>
      </c>
      <c r="C30" s="202" t="s">
        <v>12</v>
      </c>
      <c r="D30" s="204">
        <f t="shared" si="0"/>
        <v>46122</v>
      </c>
      <c r="E30" s="11"/>
      <c r="F30" s="112" t="s">
        <v>139</v>
      </c>
      <c r="G30" s="11"/>
      <c r="H30" s="90"/>
      <c r="I30" s="153" t="s">
        <v>174</v>
      </c>
      <c r="J30" s="328"/>
      <c r="L30" s="22"/>
      <c r="M30" s="25" t="s">
        <v>38</v>
      </c>
      <c r="N30" s="26"/>
    </row>
    <row r="31" spans="1:14" s="4" customFormat="1" ht="18" customHeight="1">
      <c r="A31" s="209"/>
      <c r="B31" s="211"/>
      <c r="C31" s="203"/>
      <c r="D31" s="205"/>
      <c r="E31" s="12"/>
      <c r="F31" s="113" t="s">
        <v>126</v>
      </c>
      <c r="G31" s="12"/>
      <c r="H31" s="91"/>
      <c r="I31" s="154" t="s">
        <v>55</v>
      </c>
      <c r="J31" s="329"/>
      <c r="L31" s="27"/>
      <c r="M31" s="182" t="s">
        <v>39</v>
      </c>
      <c r="N31" s="183"/>
    </row>
    <row r="32" spans="1:14" s="4" customFormat="1" ht="18" customHeight="1">
      <c r="A32" s="209"/>
      <c r="B32" s="211"/>
      <c r="C32" s="203"/>
      <c r="D32" s="205"/>
      <c r="E32" s="12"/>
      <c r="F32" s="113" t="s">
        <v>55</v>
      </c>
      <c r="G32" s="12"/>
      <c r="H32" s="91"/>
      <c r="I32" s="154" t="s">
        <v>175</v>
      </c>
      <c r="J32" s="329"/>
      <c r="L32" s="28"/>
      <c r="M32" s="15"/>
      <c r="N32" s="15"/>
    </row>
    <row r="33" spans="1:14" s="4" customFormat="1" ht="18" customHeight="1">
      <c r="A33" s="212">
        <f>A30+1</f>
        <v>11</v>
      </c>
      <c r="B33" s="214">
        <f>D30+3</f>
        <v>46125</v>
      </c>
      <c r="C33" s="217" t="s">
        <v>12</v>
      </c>
      <c r="D33" s="214">
        <f t="shared" si="0"/>
        <v>46129</v>
      </c>
      <c r="E33" s="11"/>
      <c r="F33" s="49"/>
      <c r="G33" s="110" t="s">
        <v>176</v>
      </c>
      <c r="H33" s="11"/>
      <c r="I33" s="95" t="s">
        <v>109</v>
      </c>
      <c r="J33" s="206"/>
      <c r="L33" s="191" t="str">
        <f>'12C1'!L23</f>
        <v>DATAS IMPORTANTES</v>
      </c>
      <c r="M33" s="191"/>
    </row>
    <row r="34" spans="1:14" s="4" customFormat="1" ht="18" customHeight="1">
      <c r="A34" s="213"/>
      <c r="B34" s="215"/>
      <c r="C34" s="218"/>
      <c r="D34" s="215"/>
      <c r="E34" s="12"/>
      <c r="F34" s="50"/>
      <c r="G34" s="111" t="s">
        <v>177</v>
      </c>
      <c r="H34" s="12"/>
      <c r="I34" s="96" t="s">
        <v>178</v>
      </c>
      <c r="J34" s="207"/>
      <c r="L34" s="15" t="str">
        <f>'12C1'!L24</f>
        <v>13.05</v>
      </c>
      <c r="M34" s="15" t="str">
        <f>'12C1'!M24</f>
        <v>AR</v>
      </c>
      <c r="N34" s="32"/>
    </row>
    <row r="35" spans="1:14" s="4" customFormat="1" ht="18" customHeight="1">
      <c r="A35" s="213"/>
      <c r="B35" s="216"/>
      <c r="C35" s="218"/>
      <c r="D35" s="216"/>
      <c r="E35" s="12"/>
      <c r="F35" s="50"/>
      <c r="G35" s="111" t="s">
        <v>55</v>
      </c>
      <c r="H35" s="12"/>
      <c r="I35" s="96" t="s">
        <v>179</v>
      </c>
      <c r="J35" s="207"/>
      <c r="L35" s="4" t="str">
        <f>'12C1'!L25</f>
        <v>27.04</v>
      </c>
      <c r="M35" s="4" t="str">
        <f>'12C1'!M25</f>
        <v>LANÇAMENTO DE NOTAS NO PORTAL</v>
      </c>
      <c r="N35" s="15"/>
    </row>
    <row r="36" spans="1:14" s="4" customFormat="1" ht="18" customHeight="1">
      <c r="A36" s="208">
        <f>A33+1</f>
        <v>12</v>
      </c>
      <c r="B36" s="210">
        <f>D33+3</f>
        <v>46132</v>
      </c>
      <c r="C36" s="202" t="s">
        <v>12</v>
      </c>
      <c r="D36" s="204">
        <f>B36+4</f>
        <v>46136</v>
      </c>
      <c r="E36" s="11"/>
      <c r="F36" s="206" t="s">
        <v>45</v>
      </c>
      <c r="G36" s="11"/>
      <c r="H36" s="206" t="s">
        <v>45</v>
      </c>
      <c r="I36" s="99" t="s">
        <v>71</v>
      </c>
      <c r="J36" s="206"/>
    </row>
    <row r="37" spans="1:14" s="4" customFormat="1" ht="18" customHeight="1">
      <c r="A37" s="209"/>
      <c r="B37" s="211"/>
      <c r="C37" s="203"/>
      <c r="D37" s="205"/>
      <c r="E37" s="12"/>
      <c r="F37" s="207"/>
      <c r="G37" s="12"/>
      <c r="H37" s="207"/>
      <c r="I37" s="98" t="s">
        <v>72</v>
      </c>
      <c r="J37" s="207"/>
    </row>
    <row r="38" spans="1:14" s="4" customFormat="1" ht="18" customHeight="1">
      <c r="A38" s="209"/>
      <c r="B38" s="211"/>
      <c r="C38" s="203"/>
      <c r="D38" s="205"/>
      <c r="E38" s="12"/>
      <c r="F38" s="207"/>
      <c r="G38" s="12"/>
      <c r="H38" s="207"/>
      <c r="I38" s="98" t="s">
        <v>73</v>
      </c>
      <c r="J38" s="207"/>
    </row>
    <row r="39" spans="1:14" s="4" customFormat="1" ht="18" customHeight="1">
      <c r="A39" s="208">
        <f>A36+1</f>
        <v>13</v>
      </c>
      <c r="B39" s="210">
        <f>D36+3</f>
        <v>46139</v>
      </c>
      <c r="C39" s="202" t="s">
        <v>12</v>
      </c>
      <c r="D39" s="204">
        <f t="shared" si="0"/>
        <v>46143</v>
      </c>
      <c r="E39" s="11"/>
      <c r="F39" s="11" t="s">
        <v>107</v>
      </c>
      <c r="G39" s="11"/>
      <c r="H39" s="156" t="s">
        <v>181</v>
      </c>
      <c r="I39" s="206" t="s">
        <v>45</v>
      </c>
      <c r="J39" s="206"/>
    </row>
    <row r="40" spans="1:14" s="4" customFormat="1" ht="18" customHeight="1">
      <c r="A40" s="209"/>
      <c r="B40" s="211"/>
      <c r="C40" s="203"/>
      <c r="D40" s="205"/>
      <c r="E40" s="12"/>
      <c r="F40" s="12" t="s">
        <v>126</v>
      </c>
      <c r="G40" s="12"/>
      <c r="H40" s="157" t="s">
        <v>86</v>
      </c>
      <c r="I40" s="207"/>
      <c r="J40" s="207"/>
    </row>
    <row r="41" spans="1:14" s="4" customFormat="1" ht="18" customHeight="1">
      <c r="A41" s="209"/>
      <c r="B41" s="211"/>
      <c r="C41" s="203"/>
      <c r="D41" s="205"/>
      <c r="E41" s="12"/>
      <c r="F41" s="12" t="s">
        <v>55</v>
      </c>
      <c r="G41" s="12"/>
      <c r="H41" s="157" t="s">
        <v>67</v>
      </c>
      <c r="I41" s="207"/>
      <c r="J41" s="207"/>
    </row>
    <row r="42" spans="1:14" s="4" customFormat="1" ht="18" customHeight="1">
      <c r="A42" s="208">
        <f>A39+1</f>
        <v>14</v>
      </c>
      <c r="B42" s="210">
        <f>D39+3</f>
        <v>46146</v>
      </c>
      <c r="C42" s="202" t="s">
        <v>12</v>
      </c>
      <c r="D42" s="204">
        <f t="shared" si="0"/>
        <v>46150</v>
      </c>
      <c r="E42" s="11"/>
      <c r="F42" s="95" t="s">
        <v>50</v>
      </c>
      <c r="G42" s="11"/>
      <c r="H42" s="11"/>
      <c r="I42" s="11"/>
      <c r="J42" s="223" t="s">
        <v>77</v>
      </c>
    </row>
    <row r="43" spans="1:14" s="4" customFormat="1" ht="18" customHeight="1">
      <c r="A43" s="209"/>
      <c r="B43" s="211"/>
      <c r="C43" s="203"/>
      <c r="D43" s="205"/>
      <c r="E43" s="12"/>
      <c r="F43" s="96" t="s">
        <v>182</v>
      </c>
      <c r="G43" s="12"/>
      <c r="H43" s="12"/>
      <c r="I43" s="12"/>
      <c r="J43" s="224"/>
    </row>
    <row r="44" spans="1:14" s="4" customFormat="1" ht="18" customHeight="1" thickBot="1">
      <c r="A44" s="209"/>
      <c r="B44" s="211"/>
      <c r="C44" s="203"/>
      <c r="D44" s="205"/>
      <c r="E44" s="12"/>
      <c r="F44" s="96" t="s">
        <v>179</v>
      </c>
      <c r="G44" s="12"/>
      <c r="H44" s="12"/>
      <c r="I44" s="12"/>
      <c r="J44" s="224"/>
    </row>
    <row r="45" spans="1:14" s="4" customFormat="1" ht="18" customHeight="1">
      <c r="A45" s="208">
        <f>A42+1</f>
        <v>15</v>
      </c>
      <c r="B45" s="210">
        <f>D42+3</f>
        <v>46153</v>
      </c>
      <c r="C45" s="219" t="s">
        <v>12</v>
      </c>
      <c r="D45" s="204">
        <f>B45+4</f>
        <v>46157</v>
      </c>
      <c r="E45" s="11"/>
      <c r="F45" s="11"/>
      <c r="G45" s="11"/>
      <c r="H45" s="187" t="s">
        <v>183</v>
      </c>
      <c r="I45" s="187" t="s">
        <v>183</v>
      </c>
      <c r="J45" s="39"/>
      <c r="L45" s="1" t="s">
        <v>184</v>
      </c>
    </row>
    <row r="46" spans="1:14" s="4" customFormat="1" ht="18" customHeight="1">
      <c r="A46" s="209"/>
      <c r="B46" s="211"/>
      <c r="C46" s="220"/>
      <c r="D46" s="205"/>
      <c r="E46" s="12"/>
      <c r="F46" s="12"/>
      <c r="G46" s="12"/>
      <c r="H46" s="188"/>
      <c r="I46" s="188"/>
      <c r="J46" s="40"/>
      <c r="L46" s="1"/>
    </row>
    <row r="47" spans="1:14" s="4" customFormat="1" ht="18" customHeight="1">
      <c r="A47" s="209"/>
      <c r="B47" s="211"/>
      <c r="C47" s="220"/>
      <c r="D47" s="205"/>
      <c r="E47" s="12"/>
      <c r="F47" s="50"/>
      <c r="G47" s="12"/>
      <c r="H47" s="188"/>
      <c r="I47" s="188"/>
      <c r="J47" s="40"/>
      <c r="L47" s="1"/>
    </row>
    <row r="48" spans="1:14" s="4" customFormat="1" ht="18" customHeight="1">
      <c r="A48" s="208">
        <f>A45+1</f>
        <v>16</v>
      </c>
      <c r="B48" s="210">
        <f>D45+3</f>
        <v>46160</v>
      </c>
      <c r="C48" s="219" t="s">
        <v>12</v>
      </c>
      <c r="D48" s="204">
        <f t="shared" si="0"/>
        <v>46164</v>
      </c>
      <c r="E48" s="11"/>
      <c r="F48" s="151" t="s">
        <v>186</v>
      </c>
      <c r="G48" s="140" t="s">
        <v>119</v>
      </c>
      <c r="H48" s="11"/>
      <c r="I48" s="107" t="s">
        <v>154</v>
      </c>
      <c r="J48" s="246"/>
      <c r="L48" s="1" t="s">
        <v>187</v>
      </c>
    </row>
    <row r="49" spans="1:12" s="4" customFormat="1" ht="18" customHeight="1">
      <c r="A49" s="209"/>
      <c r="B49" s="211"/>
      <c r="C49" s="220"/>
      <c r="D49" s="205"/>
      <c r="E49" s="12"/>
      <c r="F49" s="152" t="s">
        <v>188</v>
      </c>
      <c r="G49" s="141" t="s">
        <v>205</v>
      </c>
      <c r="H49" s="12"/>
      <c r="I49" s="108" t="s">
        <v>124</v>
      </c>
      <c r="J49" s="247"/>
      <c r="L49" s="1"/>
    </row>
    <row r="50" spans="1:12" s="4" customFormat="1" ht="18" customHeight="1">
      <c r="A50" s="209"/>
      <c r="B50" s="211"/>
      <c r="C50" s="220"/>
      <c r="D50" s="205"/>
      <c r="E50" s="12"/>
      <c r="F50" s="152" t="s">
        <v>55</v>
      </c>
      <c r="G50" s="141" t="s">
        <v>206</v>
      </c>
      <c r="H50" s="12"/>
      <c r="I50" s="109" t="s">
        <v>25</v>
      </c>
      <c r="J50" s="247"/>
      <c r="L50" s="1"/>
    </row>
    <row r="51" spans="1:12" s="4" customFormat="1" ht="18" customHeight="1">
      <c r="A51" s="208">
        <f>A48+1</f>
        <v>17</v>
      </c>
      <c r="B51" s="210">
        <f>D48+3</f>
        <v>46167</v>
      </c>
      <c r="C51" s="219" t="s">
        <v>12</v>
      </c>
      <c r="D51" s="204">
        <f>B51+4</f>
        <v>46171</v>
      </c>
      <c r="E51" s="11"/>
      <c r="F51" s="93" t="s">
        <v>49</v>
      </c>
      <c r="G51" s="11"/>
      <c r="H51" s="11"/>
      <c r="I51" s="153" t="s">
        <v>174</v>
      </c>
      <c r="J51" s="229"/>
      <c r="L51" s="1" t="s">
        <v>191</v>
      </c>
    </row>
    <row r="52" spans="1:12" s="4" customFormat="1" ht="18" customHeight="1">
      <c r="A52" s="209"/>
      <c r="B52" s="211"/>
      <c r="C52" s="220"/>
      <c r="D52" s="205"/>
      <c r="E52" s="12"/>
      <c r="F52" s="94" t="s">
        <v>192</v>
      </c>
      <c r="G52" s="12"/>
      <c r="H52" s="12"/>
      <c r="I52" s="154" t="s">
        <v>55</v>
      </c>
      <c r="J52" s="226"/>
      <c r="L52" s="1"/>
    </row>
    <row r="53" spans="1:12" s="4" customFormat="1" ht="27.75" customHeight="1">
      <c r="A53" s="209"/>
      <c r="B53" s="211"/>
      <c r="C53" s="220"/>
      <c r="D53" s="205"/>
      <c r="E53" s="12"/>
      <c r="F53" s="94" t="s">
        <v>55</v>
      </c>
      <c r="G53" s="12"/>
      <c r="H53" s="12"/>
      <c r="I53" s="154" t="s">
        <v>175</v>
      </c>
      <c r="J53" s="226"/>
      <c r="L53" s="1"/>
    </row>
    <row r="54" spans="1:12" s="4" customFormat="1" ht="18" customHeight="1">
      <c r="A54" s="208">
        <f>A51+1</f>
        <v>18</v>
      </c>
      <c r="B54" s="210">
        <f>D51+3</f>
        <v>46174</v>
      </c>
      <c r="C54" s="219" t="s">
        <v>12</v>
      </c>
      <c r="D54" s="204">
        <f>B54+4</f>
        <v>46178</v>
      </c>
      <c r="E54" s="230" t="s">
        <v>84</v>
      </c>
      <c r="F54" s="230" t="s">
        <v>84</v>
      </c>
      <c r="G54" s="230" t="s">
        <v>84</v>
      </c>
      <c r="H54" s="206" t="s">
        <v>45</v>
      </c>
      <c r="I54" s="206" t="s">
        <v>45</v>
      </c>
      <c r="J54" s="229"/>
      <c r="L54" s="170" t="s">
        <v>194</v>
      </c>
    </row>
    <row r="55" spans="1:12" s="4" customFormat="1" ht="18" customHeight="1">
      <c r="A55" s="209"/>
      <c r="B55" s="211"/>
      <c r="C55" s="220"/>
      <c r="D55" s="205"/>
      <c r="E55" s="231"/>
      <c r="F55" s="231"/>
      <c r="G55" s="231"/>
      <c r="H55" s="207"/>
      <c r="I55" s="207"/>
      <c r="J55" s="226"/>
      <c r="L55" s="170" t="s">
        <v>195</v>
      </c>
    </row>
    <row r="56" spans="1:12" s="4" customFormat="1" ht="18" customHeight="1">
      <c r="A56" s="209"/>
      <c r="B56" s="211"/>
      <c r="C56" s="220"/>
      <c r="D56" s="205"/>
      <c r="E56" s="231"/>
      <c r="F56" s="231"/>
      <c r="G56" s="231"/>
      <c r="H56" s="207"/>
      <c r="I56" s="207"/>
      <c r="J56" s="226"/>
      <c r="L56" s="170"/>
    </row>
    <row r="57" spans="1:12" s="4" customFormat="1" ht="18" customHeight="1">
      <c r="A57" s="208">
        <f>A54+1</f>
        <v>19</v>
      </c>
      <c r="B57" s="210">
        <f>D54+3</f>
        <v>46181</v>
      </c>
      <c r="C57" s="219" t="s">
        <v>12</v>
      </c>
      <c r="D57" s="204">
        <f>B57+4</f>
        <v>46185</v>
      </c>
      <c r="E57" s="11"/>
      <c r="F57" s="112" t="s">
        <v>139</v>
      </c>
      <c r="G57" s="334" t="s">
        <v>197</v>
      </c>
      <c r="H57" s="11"/>
      <c r="I57" s="11" t="s">
        <v>198</v>
      </c>
      <c r="J57" s="206" t="s">
        <v>207</v>
      </c>
    </row>
    <row r="58" spans="1:12" s="4" customFormat="1" ht="18" customHeight="1">
      <c r="A58" s="209"/>
      <c r="B58" s="211"/>
      <c r="C58" s="220"/>
      <c r="D58" s="205"/>
      <c r="E58" s="12"/>
      <c r="F58" s="113" t="s">
        <v>126</v>
      </c>
      <c r="G58" s="335"/>
      <c r="H58" s="12"/>
      <c r="I58" s="12" t="s">
        <v>110</v>
      </c>
      <c r="J58" s="207"/>
    </row>
    <row r="59" spans="1:12" s="4" customFormat="1" ht="18" customHeight="1">
      <c r="A59" s="209"/>
      <c r="B59" s="211"/>
      <c r="C59" s="220"/>
      <c r="D59" s="205"/>
      <c r="E59" s="12"/>
      <c r="F59" s="113" t="s">
        <v>55</v>
      </c>
      <c r="G59" s="336"/>
      <c r="H59" s="12"/>
      <c r="I59" s="12" t="s">
        <v>55</v>
      </c>
      <c r="J59" s="207"/>
    </row>
    <row r="60" spans="1:12" s="4" customFormat="1" ht="18" customHeight="1">
      <c r="A60" s="208">
        <f>A57+1</f>
        <v>20</v>
      </c>
      <c r="B60" s="210">
        <f>D57+3</f>
        <v>46188</v>
      </c>
      <c r="C60" s="219" t="s">
        <v>12</v>
      </c>
      <c r="D60" s="204">
        <f t="shared" si="0"/>
        <v>46192</v>
      </c>
      <c r="E60" s="99" t="s">
        <v>71</v>
      </c>
      <c r="F60" s="110" t="s">
        <v>176</v>
      </c>
      <c r="G60" s="11"/>
      <c r="I60" s="156" t="s">
        <v>181</v>
      </c>
      <c r="J60" s="223" t="s">
        <v>77</v>
      </c>
    </row>
    <row r="61" spans="1:12" s="4" customFormat="1" ht="18" customHeight="1">
      <c r="A61" s="209"/>
      <c r="B61" s="211"/>
      <c r="C61" s="220"/>
      <c r="D61" s="205"/>
      <c r="E61" s="98" t="s">
        <v>199</v>
      </c>
      <c r="F61" s="111" t="s">
        <v>126</v>
      </c>
      <c r="G61" s="12"/>
      <c r="I61" s="157" t="s">
        <v>62</v>
      </c>
      <c r="J61" s="224"/>
    </row>
    <row r="62" spans="1:12" s="4" customFormat="1" ht="18" customHeight="1">
      <c r="A62" s="209"/>
      <c r="B62" s="211"/>
      <c r="C62" s="220"/>
      <c r="D62" s="205"/>
      <c r="E62" s="98" t="s">
        <v>73</v>
      </c>
      <c r="F62" s="111" t="s">
        <v>55</v>
      </c>
      <c r="G62" s="12"/>
      <c r="I62" s="157" t="s">
        <v>67</v>
      </c>
      <c r="J62" s="224"/>
    </row>
    <row r="63" spans="1:12" ht="18" customHeight="1">
      <c r="A63" s="232">
        <f t="shared" ref="A63" si="1">A60+1</f>
        <v>21</v>
      </c>
      <c r="B63" s="235">
        <f t="shared" ref="B63" si="2">D60+3</f>
        <v>46195</v>
      </c>
      <c r="C63" s="238" t="s">
        <v>12</v>
      </c>
      <c r="D63" s="235">
        <f t="shared" ref="D63" si="3">B63+4</f>
        <v>46199</v>
      </c>
      <c r="E63" s="11"/>
      <c r="F63" s="11"/>
      <c r="G63" s="11"/>
      <c r="H63" s="11"/>
      <c r="I63" s="11"/>
      <c r="J63" s="206"/>
    </row>
    <row r="64" spans="1:12" ht="18" customHeight="1">
      <c r="A64" s="233"/>
      <c r="B64" s="236"/>
      <c r="C64" s="239"/>
      <c r="D64" s="236"/>
      <c r="E64" s="12"/>
      <c r="F64" s="12"/>
      <c r="G64" s="12"/>
      <c r="H64" s="12"/>
      <c r="I64" s="12"/>
      <c r="J64" s="207"/>
    </row>
    <row r="65" spans="1:10" ht="18" customHeight="1">
      <c r="A65" s="234"/>
      <c r="B65" s="237"/>
      <c r="C65" s="240"/>
      <c r="D65" s="237"/>
      <c r="E65" s="13"/>
      <c r="F65" s="13"/>
      <c r="G65" s="13"/>
      <c r="H65" s="13"/>
      <c r="I65" s="13"/>
      <c r="J65" s="241"/>
    </row>
    <row r="66" spans="1:10" ht="18" customHeight="1">
      <c r="A66" s="232">
        <f t="shared" ref="A66" si="4">A63+1</f>
        <v>22</v>
      </c>
      <c r="B66" s="235">
        <f t="shared" ref="B66" si="5">D63+3</f>
        <v>46202</v>
      </c>
      <c r="C66" s="238" t="s">
        <v>12</v>
      </c>
      <c r="D66" s="235">
        <f t="shared" ref="D66" si="6">B66+4</f>
        <v>46206</v>
      </c>
      <c r="E66" s="11"/>
      <c r="F66" s="187" t="s">
        <v>200</v>
      </c>
      <c r="G66" s="187" t="s">
        <v>200</v>
      </c>
      <c r="H66" s="11"/>
      <c r="I66" s="11"/>
      <c r="J66" s="206"/>
    </row>
    <row r="67" spans="1:10" ht="18" customHeight="1">
      <c r="A67" s="233"/>
      <c r="B67" s="236"/>
      <c r="C67" s="239"/>
      <c r="D67" s="236"/>
      <c r="E67" s="12"/>
      <c r="F67" s="188"/>
      <c r="G67" s="188"/>
      <c r="H67" s="12"/>
      <c r="I67" s="12"/>
      <c r="J67" s="207"/>
    </row>
    <row r="68" spans="1:10" ht="18" customHeight="1">
      <c r="A68" s="234"/>
      <c r="B68" s="237"/>
      <c r="C68" s="240"/>
      <c r="D68" s="237"/>
      <c r="E68" s="13"/>
      <c r="F68" s="189"/>
      <c r="G68" s="189"/>
      <c r="H68" s="13"/>
      <c r="I68" s="13"/>
      <c r="J68" s="241"/>
    </row>
    <row r="69" spans="1:10" ht="18" customHeight="1">
      <c r="A69" s="232">
        <f>A66+1</f>
        <v>23</v>
      </c>
      <c r="B69" s="235">
        <f t="shared" ref="B69" si="7">D66+3</f>
        <v>46209</v>
      </c>
      <c r="C69" s="238" t="s">
        <v>12</v>
      </c>
      <c r="D69" s="235">
        <f t="shared" ref="D69" si="8">B69+4</f>
        <v>46213</v>
      </c>
      <c r="E69" s="184" t="s">
        <v>161</v>
      </c>
      <c r="F69" s="242" t="s">
        <v>162</v>
      </c>
      <c r="G69" s="184" t="s">
        <v>161</v>
      </c>
      <c r="H69" s="184" t="s">
        <v>161</v>
      </c>
      <c r="I69" s="184" t="s">
        <v>161</v>
      </c>
      <c r="J69" s="206"/>
    </row>
    <row r="70" spans="1:10" ht="18" customHeight="1">
      <c r="A70" s="233"/>
      <c r="B70" s="236"/>
      <c r="C70" s="239"/>
      <c r="D70" s="236"/>
      <c r="E70" s="185"/>
      <c r="F70" s="243"/>
      <c r="G70" s="185"/>
      <c r="H70" s="185"/>
      <c r="I70" s="185"/>
      <c r="J70" s="207"/>
    </row>
    <row r="71" spans="1:10" ht="18" customHeight="1">
      <c r="A71" s="234"/>
      <c r="B71" s="237"/>
      <c r="C71" s="240"/>
      <c r="D71" s="237"/>
      <c r="E71" s="186"/>
      <c r="F71" s="244"/>
      <c r="G71" s="186"/>
      <c r="H71" s="186"/>
      <c r="I71" s="186"/>
      <c r="J71" s="241"/>
    </row>
  </sheetData>
  <mergeCells count="153">
    <mergeCell ref="F66:F68"/>
    <mergeCell ref="G66:G68"/>
    <mergeCell ref="A1:I1"/>
    <mergeCell ref="C69:C71"/>
    <mergeCell ref="D69:D71"/>
    <mergeCell ref="J66:J68"/>
    <mergeCell ref="J69:J71"/>
    <mergeCell ref="A66:A68"/>
    <mergeCell ref="B66:B68"/>
    <mergeCell ref="C66:C68"/>
    <mergeCell ref="D66:D68"/>
    <mergeCell ref="A69:A71"/>
    <mergeCell ref="B69:B71"/>
    <mergeCell ref="H69:H71"/>
    <mergeCell ref="I69:I71"/>
    <mergeCell ref="F69:F71"/>
    <mergeCell ref="A63:A65"/>
    <mergeCell ref="B63:B65"/>
    <mergeCell ref="C63:C65"/>
    <mergeCell ref="D63:D65"/>
    <mergeCell ref="J63:J65"/>
    <mergeCell ref="A60:A62"/>
    <mergeCell ref="B60:B62"/>
    <mergeCell ref="C60:C62"/>
    <mergeCell ref="D60:D62"/>
    <mergeCell ref="J60:J62"/>
    <mergeCell ref="A57:A59"/>
    <mergeCell ref="B57:B59"/>
    <mergeCell ref="C57:C59"/>
    <mergeCell ref="D57:D59"/>
    <mergeCell ref="J57:J59"/>
    <mergeCell ref="A54:A56"/>
    <mergeCell ref="B54:B56"/>
    <mergeCell ref="C54:C56"/>
    <mergeCell ref="D54:D56"/>
    <mergeCell ref="J54:J56"/>
    <mergeCell ref="E54:E56"/>
    <mergeCell ref="F54:F56"/>
    <mergeCell ref="G54:G56"/>
    <mergeCell ref="H54:H56"/>
    <mergeCell ref="I54:I56"/>
    <mergeCell ref="G57:G59"/>
    <mergeCell ref="A51:A53"/>
    <mergeCell ref="B51:B53"/>
    <mergeCell ref="C51:C53"/>
    <mergeCell ref="D51:D53"/>
    <mergeCell ref="J51:J53"/>
    <mergeCell ref="A48:A50"/>
    <mergeCell ref="B48:B50"/>
    <mergeCell ref="C48:C50"/>
    <mergeCell ref="D48:D50"/>
    <mergeCell ref="J48:J50"/>
    <mergeCell ref="A45:A47"/>
    <mergeCell ref="B45:B47"/>
    <mergeCell ref="C45:C47"/>
    <mergeCell ref="D45:D47"/>
    <mergeCell ref="A42:A44"/>
    <mergeCell ref="B42:B44"/>
    <mergeCell ref="C42:C44"/>
    <mergeCell ref="D42:D44"/>
    <mergeCell ref="J42:J44"/>
    <mergeCell ref="H45:H47"/>
    <mergeCell ref="I45:I47"/>
    <mergeCell ref="A39:A41"/>
    <mergeCell ref="B39:B41"/>
    <mergeCell ref="C39:C41"/>
    <mergeCell ref="D39:D41"/>
    <mergeCell ref="J39:J41"/>
    <mergeCell ref="A36:A38"/>
    <mergeCell ref="B36:B38"/>
    <mergeCell ref="C36:C38"/>
    <mergeCell ref="D36:D38"/>
    <mergeCell ref="J36:J38"/>
    <mergeCell ref="F36:F38"/>
    <mergeCell ref="H36:H38"/>
    <mergeCell ref="I39:I41"/>
    <mergeCell ref="J33:J35"/>
    <mergeCell ref="M28:N28"/>
    <mergeCell ref="M29:N29"/>
    <mergeCell ref="A30:A32"/>
    <mergeCell ref="B30:B32"/>
    <mergeCell ref="C30:C32"/>
    <mergeCell ref="D30:D32"/>
    <mergeCell ref="J30:J32"/>
    <mergeCell ref="M31:N31"/>
    <mergeCell ref="L33:M33"/>
    <mergeCell ref="L24:N24"/>
    <mergeCell ref="M25:N25"/>
    <mergeCell ref="M26:N26"/>
    <mergeCell ref="A27:A29"/>
    <mergeCell ref="B27:B29"/>
    <mergeCell ref="C27:C29"/>
    <mergeCell ref="D27:D29"/>
    <mergeCell ref="J27:J29"/>
    <mergeCell ref="M27:N27"/>
    <mergeCell ref="A24:A26"/>
    <mergeCell ref="B24:B26"/>
    <mergeCell ref="C24:C26"/>
    <mergeCell ref="D24:D26"/>
    <mergeCell ref="J24:J26"/>
    <mergeCell ref="H27:H29"/>
    <mergeCell ref="I27:I29"/>
    <mergeCell ref="H24:H26"/>
    <mergeCell ref="I24:I26"/>
    <mergeCell ref="L16:N17"/>
    <mergeCell ref="A18:A20"/>
    <mergeCell ref="B18:B20"/>
    <mergeCell ref="C18:C20"/>
    <mergeCell ref="D18:D20"/>
    <mergeCell ref="J18:J20"/>
    <mergeCell ref="L19:N20"/>
    <mergeCell ref="A15:A17"/>
    <mergeCell ref="B15:B17"/>
    <mergeCell ref="C15:C17"/>
    <mergeCell ref="D15:D17"/>
    <mergeCell ref="J15:J17"/>
    <mergeCell ref="B2:D2"/>
    <mergeCell ref="A3:A5"/>
    <mergeCell ref="B3:B5"/>
    <mergeCell ref="C3:C5"/>
    <mergeCell ref="D3:D5"/>
    <mergeCell ref="A12:A14"/>
    <mergeCell ref="B12:B14"/>
    <mergeCell ref="C12:C14"/>
    <mergeCell ref="D12:D14"/>
    <mergeCell ref="A9:A11"/>
    <mergeCell ref="B9:B11"/>
    <mergeCell ref="C9:C11"/>
    <mergeCell ref="D9:D11"/>
    <mergeCell ref="E69:E71"/>
    <mergeCell ref="G69:G71"/>
    <mergeCell ref="J3:J5"/>
    <mergeCell ref="A6:A8"/>
    <mergeCell ref="B6:B8"/>
    <mergeCell ref="C6:C8"/>
    <mergeCell ref="D6:D8"/>
    <mergeCell ref="J6:J8"/>
    <mergeCell ref="J12:J14"/>
    <mergeCell ref="J9:J11"/>
    <mergeCell ref="E9:E11"/>
    <mergeCell ref="F9:F11"/>
    <mergeCell ref="G9:G11"/>
    <mergeCell ref="H9:H11"/>
    <mergeCell ref="I9:I11"/>
    <mergeCell ref="A21:A23"/>
    <mergeCell ref="B21:B23"/>
    <mergeCell ref="C21:C23"/>
    <mergeCell ref="D21:D23"/>
    <mergeCell ref="J21:J23"/>
    <mergeCell ref="A33:A35"/>
    <mergeCell ref="B33:B35"/>
    <mergeCell ref="C33:C35"/>
    <mergeCell ref="D33:D35"/>
  </mergeCells>
  <pageMargins left="0.25" right="0.25" top="0.47055555555555556" bottom="0.75" header="0.3" footer="0.3"/>
  <pageSetup paperSize="9" scale="64" orientation="portrait" r:id="rId1"/>
  <headerFooter>
    <oddHeader>&amp;LPrüfungsplan: &amp;A</oddHeader>
    <oddFooter>&amp;L&amp;8PQM&amp;C&amp;8Dateiname: &amp;F&amp;R&amp;8Stand: 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3E49-289D-467A-85FA-AA6735777A5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14535E6D0D445A832EA510DC92117" ma:contentTypeVersion="7" ma:contentTypeDescription="Create a new document." ma:contentTypeScope="" ma:versionID="46a8c5b646b1b879103d7790d6539af3">
  <xsd:schema xmlns:xsd="http://www.w3.org/2001/XMLSchema" xmlns:xs="http://www.w3.org/2001/XMLSchema" xmlns:p="http://schemas.microsoft.com/office/2006/metadata/properties" xmlns:ns2="5c86332b-48c6-4f17-a438-0cbfb95e61f3" targetNamespace="http://schemas.microsoft.com/office/2006/metadata/properties" ma:root="true" ma:fieldsID="601297cbde1b27afc8e96bda4eda7d8d" ns2:_="">
    <xsd:import namespace="5c86332b-48c6-4f17-a438-0cbfb95e6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6332b-48c6-4f17-a438-0cbfb95e6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E4A1E7-467E-4402-AECC-D0324D867FDA}"/>
</file>

<file path=customXml/itemProps2.xml><?xml version="1.0" encoding="utf-8"?>
<ds:datastoreItem xmlns:ds="http://schemas.openxmlformats.org/officeDocument/2006/customXml" ds:itemID="{5B517BA8-1CFC-49B2-9049-8CB32C820BA9}"/>
</file>

<file path=customXml/itemProps3.xml><?xml version="1.0" encoding="utf-8"?>
<ds:datastoreItem xmlns:ds="http://schemas.openxmlformats.org/officeDocument/2006/customXml" ds:itemID="{DEB17F39-4418-4177-8089-8329B3CEB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Uwe Brunn</dc:creator>
  <cp:keywords/>
  <dc:description/>
  <cp:lastModifiedBy>Carlos Luiz Silva Brener</cp:lastModifiedBy>
  <cp:revision/>
  <dcterms:created xsi:type="dcterms:W3CDTF">1998-02-12T12:06:05Z</dcterms:created>
  <dcterms:modified xsi:type="dcterms:W3CDTF">2026-06-29T18:55:24Z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0x0101002C014535E6D0D445A832EA510DC92117</vt:lpwstr>
  </property>
  <property fmtid="{D5CDD505-2E9C-101B-9397-08002B2CF9AE}" pid="3" name="MediaServiceImageTags">
    <vt:lpwstr/>
  </property>
</Properties>
</file>