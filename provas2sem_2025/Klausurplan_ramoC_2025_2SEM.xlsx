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mc:AlternateContent xmlns:mc="http://schemas.openxmlformats.org/markup-compatibility/2006">
    <mc:Choice Requires="x15">
      <x15ac:absPath xmlns:x15ac="http://schemas.microsoft.com/office/spreadsheetml/2010/11/ac" url="https://eacorcovado-my.sharepoint.com/personal/cbrener_eacorcovado_com_br/Documents/0-EACDOCS/A2025/CALENDÁRIOS/provas 2 semestre/"/>
    </mc:Choice>
  </mc:AlternateContent>
  <xr:revisionPtr revIDLastSave="950" documentId="8_{CCFCD150-E360-4375-9167-7DFC0B729787}" xr6:coauthVersionLast="47" xr6:coauthVersionMax="47" xr10:uidLastSave="{E074FC89-82B8-49F9-A898-280A4AA7E984}"/>
  <bookViews>
    <workbookView xWindow="-120" yWindow="-120" windowWidth="29040" windowHeight="15840" firstSheet="3" activeTab="2" xr2:uid="{00000000-000D-0000-FFFF-FFFF00000000}"/>
  </bookViews>
  <sheets>
    <sheet name="Planungshilfe 1.Hj" sheetId="12" state="hidden" r:id="rId1"/>
    <sheet name="Planungshilfe 2.HJ" sheetId="21" state="hidden" r:id="rId2"/>
    <sheet name="9C1" sheetId="33" r:id="rId3"/>
    <sheet name="9C2" sheetId="34" r:id="rId4"/>
    <sheet name="10C1" sheetId="32" r:id="rId5"/>
    <sheet name="10C2" sheetId="35" r:id="rId6"/>
    <sheet name="11C1" sheetId="22" r:id="rId7"/>
    <sheet name="11C2" sheetId="36" r:id="rId8"/>
    <sheet name="12C1" sheetId="31" r:id="rId9"/>
    <sheet name="Planilha1" sheetId="30" state="hidden" r:id="rId10"/>
    <sheet name="DISCIPLINAS" sheetId="38" r:id="rId11"/>
  </sheets>
  <definedNames>
    <definedName name="_xlnm.Print_Area" localSheetId="0">'Planungshilfe 1.Hj'!$A$1:$J$29</definedName>
    <definedName name="_xlnm.Print_Area" localSheetId="1">'Planungshilfe 2.HJ'!$A$1:$J$29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1" l="1"/>
  <c r="A5" i="31" s="1"/>
  <c r="A6" i="31" s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D3" i="31"/>
  <c r="B4" i="31" s="1"/>
  <c r="D4" i="31" s="1"/>
  <c r="B5" i="31" s="1"/>
  <c r="D5" i="31" s="1"/>
  <c r="B6" i="31" s="1"/>
  <c r="D6" i="31" s="1"/>
  <c r="B7" i="31" s="1"/>
  <c r="D7" i="31" s="1"/>
  <c r="B8" i="31" s="1"/>
  <c r="D8" i="31" s="1"/>
  <c r="B9" i="31" s="1"/>
  <c r="D9" i="31" s="1"/>
  <c r="B10" i="31" s="1"/>
  <c r="D10" i="31" s="1"/>
  <c r="B11" i="31" s="1"/>
  <c r="D11" i="31" s="1"/>
  <c r="B12" i="31" s="1"/>
  <c r="D12" i="31" s="1"/>
  <c r="B13" i="31" s="1"/>
  <c r="D13" i="31" s="1"/>
  <c r="B14" i="31" s="1"/>
  <c r="D14" i="31" s="1"/>
  <c r="B15" i="31" s="1"/>
  <c r="D15" i="31" s="1"/>
  <c r="B16" i="31" s="1"/>
  <c r="D16" i="31" s="1"/>
  <c r="B17" i="31" s="1"/>
  <c r="D17" i="31" s="1"/>
  <c r="B18" i="31" s="1"/>
  <c r="D18" i="31" s="1"/>
  <c r="B19" i="31" s="1"/>
  <c r="D19" i="31" s="1"/>
  <c r="B20" i="31" s="1"/>
  <c r="D20" i="31" s="1"/>
  <c r="B21" i="31" s="1"/>
  <c r="D21" i="31" s="1"/>
  <c r="B22" i="31" s="1"/>
  <c r="D22" i="31" s="1"/>
  <c r="B23" i="31" s="1"/>
  <c r="D23" i="31" s="1"/>
  <c r="B4" i="36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E3" i="36"/>
  <c r="C4" i="36" s="1"/>
  <c r="E4" i="36" s="1"/>
  <c r="C5" i="36" s="1"/>
  <c r="E5" i="36" s="1"/>
  <c r="C6" i="36" s="1"/>
  <c r="E6" i="36" s="1"/>
  <c r="C7" i="36" s="1"/>
  <c r="E7" i="36" s="1"/>
  <c r="C8" i="36" s="1"/>
  <c r="E8" i="36" s="1"/>
  <c r="C9" i="36" s="1"/>
  <c r="E9" i="36" s="1"/>
  <c r="C10" i="36" s="1"/>
  <c r="E10" i="36" s="1"/>
  <c r="C11" i="36" s="1"/>
  <c r="E11" i="36" s="1"/>
  <c r="C12" i="36" s="1"/>
  <c r="E12" i="36" s="1"/>
  <c r="C13" i="36" s="1"/>
  <c r="E13" i="36" s="1"/>
  <c r="C14" i="36" s="1"/>
  <c r="E14" i="36" s="1"/>
  <c r="C15" i="36" s="1"/>
  <c r="E15" i="36" s="1"/>
  <c r="C16" i="36" s="1"/>
  <c r="E16" i="36" s="1"/>
  <c r="C17" i="36" s="1"/>
  <c r="E17" i="36" s="1"/>
  <c r="C18" i="36" s="1"/>
  <c r="E18" i="36" s="1"/>
  <c r="C19" i="36" s="1"/>
  <c r="E19" i="36" s="1"/>
  <c r="C20" i="36" s="1"/>
  <c r="E20" i="36" s="1"/>
  <c r="C21" i="36" s="1"/>
  <c r="E21" i="36" s="1"/>
  <c r="C22" i="36" s="1"/>
  <c r="E22" i="36" s="1"/>
  <c r="C23" i="36" s="1"/>
  <c r="E23" i="36" s="1"/>
  <c r="B4" i="22"/>
  <c r="B5" i="22" s="1"/>
  <c r="B6" i="22" s="1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E3" i="22"/>
  <c r="C4" i="22" s="1"/>
  <c r="E4" i="22" s="1"/>
  <c r="C5" i="22" s="1"/>
  <c r="E5" i="22" s="1"/>
  <c r="C6" i="22" s="1"/>
  <c r="E6" i="22" s="1"/>
  <c r="C7" i="22" s="1"/>
  <c r="E7" i="22" s="1"/>
  <c r="C8" i="22" s="1"/>
  <c r="E8" i="22" s="1"/>
  <c r="C9" i="22" s="1"/>
  <c r="E9" i="22" s="1"/>
  <c r="C10" i="22" s="1"/>
  <c r="E10" i="22" s="1"/>
  <c r="C11" i="22" s="1"/>
  <c r="E11" i="22" s="1"/>
  <c r="C12" i="22" s="1"/>
  <c r="E12" i="22" s="1"/>
  <c r="C13" i="22" s="1"/>
  <c r="E13" i="22" s="1"/>
  <c r="C14" i="22" s="1"/>
  <c r="E14" i="22" s="1"/>
  <c r="C15" i="22" s="1"/>
  <c r="E15" i="22" s="1"/>
  <c r="C16" i="22" s="1"/>
  <c r="E16" i="22" s="1"/>
  <c r="C17" i="22" s="1"/>
  <c r="E17" i="22" s="1"/>
  <c r="C18" i="22" s="1"/>
  <c r="E18" i="22" s="1"/>
  <c r="C19" i="22" s="1"/>
  <c r="E19" i="22" s="1"/>
  <c r="C20" i="22" s="1"/>
  <c r="E20" i="22" s="1"/>
  <c r="C21" i="22" s="1"/>
  <c r="E21" i="22" s="1"/>
  <c r="C22" i="22" s="1"/>
  <c r="E22" i="22" s="1"/>
  <c r="C23" i="22" s="1"/>
  <c r="E23" i="22" s="1"/>
  <c r="B4" i="35"/>
  <c r="B5" i="35" s="1"/>
  <c r="B6" i="35" s="1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E3" i="35"/>
  <c r="C4" i="35" s="1"/>
  <c r="E4" i="35" s="1"/>
  <c r="C5" i="35" s="1"/>
  <c r="E5" i="35" s="1"/>
  <c r="C6" i="35" s="1"/>
  <c r="E6" i="35" s="1"/>
  <c r="C7" i="35" s="1"/>
  <c r="E7" i="35" s="1"/>
  <c r="C8" i="35" s="1"/>
  <c r="E8" i="35" s="1"/>
  <c r="C9" i="35" s="1"/>
  <c r="E9" i="35" s="1"/>
  <c r="C10" i="35" s="1"/>
  <c r="E10" i="35" s="1"/>
  <c r="C11" i="35" s="1"/>
  <c r="E11" i="35" s="1"/>
  <c r="C12" i="35" s="1"/>
  <c r="E12" i="35" s="1"/>
  <c r="C13" i="35" s="1"/>
  <c r="E13" i="35" s="1"/>
  <c r="C14" i="35" s="1"/>
  <c r="E14" i="35" s="1"/>
  <c r="C15" i="35" s="1"/>
  <c r="E15" i="35" s="1"/>
  <c r="C16" i="35" s="1"/>
  <c r="E16" i="35" s="1"/>
  <c r="C17" i="35" s="1"/>
  <c r="E17" i="35" s="1"/>
  <c r="C18" i="35" s="1"/>
  <c r="E18" i="35" s="1"/>
  <c r="C19" i="35" s="1"/>
  <c r="E19" i="35" s="1"/>
  <c r="C20" i="35" s="1"/>
  <c r="E20" i="35" s="1"/>
  <c r="C21" i="35" s="1"/>
  <c r="E21" i="35" s="1"/>
  <c r="C22" i="35" s="1"/>
  <c r="E22" i="35" s="1"/>
  <c r="C23" i="35" s="1"/>
  <c r="E23" i="35" s="1"/>
  <c r="B4" i="32"/>
  <c r="B5" i="32" s="1"/>
  <c r="B6" i="32" s="1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E3" i="32"/>
  <c r="C4" i="32" s="1"/>
  <c r="E4" i="32" s="1"/>
  <c r="C5" i="32" s="1"/>
  <c r="E5" i="32" s="1"/>
  <c r="C6" i="32" s="1"/>
  <c r="E6" i="32" s="1"/>
  <c r="C7" i="32" s="1"/>
  <c r="E7" i="32" s="1"/>
  <c r="C8" i="32" s="1"/>
  <c r="E8" i="32" s="1"/>
  <c r="C9" i="32" s="1"/>
  <c r="E9" i="32" s="1"/>
  <c r="C10" i="32" s="1"/>
  <c r="E10" i="32" s="1"/>
  <c r="C11" i="32" s="1"/>
  <c r="E11" i="32" s="1"/>
  <c r="C12" i="32" s="1"/>
  <c r="E12" i="32" s="1"/>
  <c r="C13" i="32" s="1"/>
  <c r="E13" i="32" s="1"/>
  <c r="C14" i="32" s="1"/>
  <c r="E14" i="32" s="1"/>
  <c r="C15" i="32" s="1"/>
  <c r="E15" i="32" s="1"/>
  <c r="C16" i="32" s="1"/>
  <c r="E16" i="32" s="1"/>
  <c r="C17" i="32" s="1"/>
  <c r="E17" i="32" s="1"/>
  <c r="C18" i="32" s="1"/>
  <c r="E18" i="32" s="1"/>
  <c r="C19" i="32" s="1"/>
  <c r="E19" i="32" s="1"/>
  <c r="C20" i="32" s="1"/>
  <c r="E20" i="32" s="1"/>
  <c r="C21" i="32" s="1"/>
  <c r="E21" i="32" s="1"/>
  <c r="C22" i="32" s="1"/>
  <c r="E22" i="32" s="1"/>
  <c r="C23" i="32" s="1"/>
  <c r="E23" i="32" s="1"/>
  <c r="B4" i="34"/>
  <c r="B5" i="34" s="1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E3" i="34"/>
  <c r="C4" i="34" s="1"/>
  <c r="E4" i="34" s="1"/>
  <c r="C5" i="34" s="1"/>
  <c r="E5" i="34" s="1"/>
  <c r="C6" i="34" s="1"/>
  <c r="E6" i="34" s="1"/>
  <c r="C7" i="34" s="1"/>
  <c r="E7" i="34" s="1"/>
  <c r="C8" i="34" s="1"/>
  <c r="E8" i="34" s="1"/>
  <c r="C9" i="34" s="1"/>
  <c r="E9" i="34" s="1"/>
  <c r="C10" i="34" s="1"/>
  <c r="E10" i="34" s="1"/>
  <c r="C11" i="34" s="1"/>
  <c r="E11" i="34" s="1"/>
  <c r="C12" i="34" s="1"/>
  <c r="E12" i="34" s="1"/>
  <c r="C13" i="34" s="1"/>
  <c r="E13" i="34" s="1"/>
  <c r="C14" i="34" s="1"/>
  <c r="E14" i="34" s="1"/>
  <c r="C15" i="34" s="1"/>
  <c r="E15" i="34" s="1"/>
  <c r="C16" i="34" s="1"/>
  <c r="E16" i="34" s="1"/>
  <c r="C17" i="34" s="1"/>
  <c r="E17" i="34" s="1"/>
  <c r="C18" i="34" s="1"/>
  <c r="E18" i="34" s="1"/>
  <c r="C19" i="34" s="1"/>
  <c r="E19" i="34" s="1"/>
  <c r="C20" i="34" s="1"/>
  <c r="E20" i="34" s="1"/>
  <c r="C21" i="34" s="1"/>
  <c r="E21" i="34" s="1"/>
  <c r="C22" i="34" s="1"/>
  <c r="E22" i="34" s="1"/>
  <c r="C23" i="34" s="1"/>
  <c r="E23" i="34" s="1"/>
  <c r="B4" i="33"/>
  <c r="B5" i="33" s="1"/>
  <c r="B6" i="33" s="1"/>
  <c r="B7" i="33" s="1"/>
  <c r="B8" i="33" s="1"/>
  <c r="B9" i="33" s="1"/>
  <c r="B10" i="33" s="1"/>
  <c r="B11" i="33" s="1"/>
  <c r="B12" i="33" s="1"/>
  <c r="B13" i="33" s="1"/>
  <c r="B14" i="33" s="1"/>
  <c r="B15" i="33" s="1"/>
  <c r="B16" i="33" s="1"/>
  <c r="B17" i="33" s="1"/>
  <c r="B18" i="33" s="1"/>
  <c r="B19" i="33" s="1"/>
  <c r="B20" i="33" s="1"/>
  <c r="B21" i="33" s="1"/>
  <c r="B22" i="33" s="1"/>
  <c r="B23" i="33" s="1"/>
  <c r="E3" i="33"/>
  <c r="C4" i="33" s="1"/>
  <c r="E4" i="33" s="1"/>
  <c r="C5" i="33" s="1"/>
  <c r="E5" i="33" s="1"/>
  <c r="C6" i="33" s="1"/>
  <c r="E6" i="33" s="1"/>
  <c r="C7" i="33" s="1"/>
  <c r="E7" i="33" s="1"/>
  <c r="C8" i="33" s="1"/>
  <c r="E8" i="33" s="1"/>
  <c r="C9" i="33" s="1"/>
  <c r="E9" i="33" s="1"/>
  <c r="C10" i="33" s="1"/>
  <c r="E10" i="33" s="1"/>
  <c r="C11" i="33" s="1"/>
  <c r="E11" i="33" s="1"/>
  <c r="C12" i="33" s="1"/>
  <c r="E12" i="33" s="1"/>
  <c r="C13" i="33" s="1"/>
  <c r="E13" i="33" s="1"/>
  <c r="C14" i="33" s="1"/>
  <c r="E14" i="33" s="1"/>
  <c r="C15" i="33" s="1"/>
  <c r="E15" i="33" s="1"/>
  <c r="C16" i="33" s="1"/>
  <c r="E16" i="33" s="1"/>
  <c r="C17" i="33" s="1"/>
  <c r="E17" i="33" s="1"/>
  <c r="C18" i="33" s="1"/>
  <c r="E18" i="33" s="1"/>
  <c r="C19" i="33" s="1"/>
  <c r="E19" i="33" s="1"/>
  <c r="C20" i="33" s="1"/>
  <c r="E20" i="33" s="1"/>
  <c r="C21" i="33" s="1"/>
  <c r="E21" i="33" s="1"/>
  <c r="C22" i="33" s="1"/>
  <c r="E22" i="33" s="1"/>
  <c r="C23" i="33" s="1"/>
  <c r="E23" i="33" s="1"/>
  <c r="D3" i="21"/>
  <c r="B4" i="21"/>
  <c r="D4" i="21"/>
  <c r="B5" i="21"/>
  <c r="D5" i="21"/>
  <c r="B6" i="21"/>
  <c r="D6" i="21"/>
  <c r="B7" i="21"/>
  <c r="D7" i="21"/>
  <c r="B8" i="21"/>
  <c r="D8" i="21"/>
  <c r="B9" i="21"/>
  <c r="D9" i="21"/>
  <c r="B10" i="21"/>
  <c r="D10" i="21"/>
  <c r="B11" i="21"/>
  <c r="D11" i="21"/>
  <c r="B12" i="21"/>
  <c r="D12" i="21"/>
  <c r="B13" i="21"/>
  <c r="D13" i="21"/>
  <c r="B14" i="21"/>
  <c r="D14" i="21"/>
  <c r="B15" i="21"/>
  <c r="D15" i="21"/>
  <c r="B16" i="21"/>
  <c r="D16" i="21"/>
  <c r="B17" i="21"/>
  <c r="D17" i="21"/>
  <c r="B18" i="21"/>
  <c r="D18" i="21"/>
  <c r="B19" i="21"/>
  <c r="D19" i="21"/>
  <c r="B20" i="21"/>
  <c r="D20" i="21"/>
  <c r="B21" i="21"/>
  <c r="D21" i="21"/>
  <c r="B22" i="21"/>
  <c r="D22" i="21"/>
  <c r="B23" i="21"/>
  <c r="D23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D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B4" i="12"/>
  <c r="D4" i="12"/>
  <c r="B5" i="12"/>
  <c r="D5" i="12"/>
  <c r="B6" i="12"/>
  <c r="D6" i="12"/>
  <c r="B7" i="12"/>
  <c r="D7" i="12"/>
  <c r="B8" i="12"/>
  <c r="D8" i="12"/>
  <c r="B9" i="12"/>
  <c r="D9" i="12"/>
  <c r="B10" i="12"/>
  <c r="D10" i="12"/>
  <c r="B11" i="12"/>
  <c r="D11" i="12"/>
  <c r="B12" i="12"/>
  <c r="D12" i="12"/>
  <c r="B13" i="12"/>
  <c r="D13" i="12"/>
  <c r="B14" i="12"/>
  <c r="D14" i="12"/>
  <c r="B15" i="12"/>
  <c r="D15" i="12"/>
  <c r="B16" i="12"/>
  <c r="D16" i="12"/>
  <c r="B17" i="12"/>
  <c r="D17" i="12"/>
  <c r="B18" i="12"/>
  <c r="D18" i="12"/>
  <c r="B19" i="12"/>
  <c r="D19" i="12"/>
  <c r="B20" i="12"/>
  <c r="D20" i="12"/>
  <c r="B21" i="12"/>
  <c r="D21" i="12"/>
  <c r="B22" i="12"/>
  <c r="D22" i="12"/>
  <c r="B23" i="12"/>
  <c r="D23" i="12"/>
  <c r="B24" i="12"/>
  <c r="D24" i="12"/>
  <c r="B25" i="12"/>
  <c r="D25" i="12"/>
</calcChain>
</file>

<file path=xl/sharedStrings.xml><?xml version="1.0" encoding="utf-8"?>
<sst xmlns="http://schemas.openxmlformats.org/spreadsheetml/2006/main" count="761" uniqueCount="190">
  <si>
    <t xml:space="preserve">Klausurplan </t>
  </si>
  <si>
    <t>1. Halbjahr 2020</t>
  </si>
  <si>
    <t>SW</t>
  </si>
  <si>
    <t>Datum von bis</t>
  </si>
  <si>
    <t>Montag</t>
  </si>
  <si>
    <t>Dienstag</t>
  </si>
  <si>
    <t>Mittwoch</t>
  </si>
  <si>
    <t>Donnerstag</t>
  </si>
  <si>
    <t>Freitag</t>
  </si>
  <si>
    <t>Bemerkungen</t>
  </si>
  <si>
    <t>-</t>
  </si>
  <si>
    <t>unterrichtsfrei</t>
  </si>
  <si>
    <t>Klasse 9</t>
  </si>
  <si>
    <t>Fach</t>
  </si>
  <si>
    <t>1. Hj.</t>
  </si>
  <si>
    <t>2.Hj.</t>
  </si>
  <si>
    <t>Elternabend 11/12</t>
  </si>
  <si>
    <t>D</t>
  </si>
  <si>
    <t>Karneval</t>
  </si>
  <si>
    <t xml:space="preserve">E </t>
  </si>
  <si>
    <t>Elternabend 9/10</t>
  </si>
  <si>
    <t>M</t>
  </si>
  <si>
    <t>Gremio 11/12</t>
  </si>
  <si>
    <t>P</t>
  </si>
  <si>
    <t>Känguru-Wett.</t>
  </si>
  <si>
    <t>Ges</t>
  </si>
  <si>
    <t>Sim12</t>
  </si>
  <si>
    <t>his</t>
  </si>
  <si>
    <t>Ausflugstag 1</t>
  </si>
  <si>
    <t>geo</t>
  </si>
  <si>
    <t>Bio</t>
  </si>
  <si>
    <t>Ph</t>
  </si>
  <si>
    <t>Ch</t>
  </si>
  <si>
    <t>Mus</t>
  </si>
  <si>
    <t>Ausflugstag 2</t>
  </si>
  <si>
    <t>2°ch</t>
  </si>
  <si>
    <t>Elternsprechtag</t>
  </si>
  <si>
    <t>Ges.l</t>
  </si>
  <si>
    <t>Sim 12</t>
  </si>
  <si>
    <t>Gremio 9/10</t>
  </si>
  <si>
    <t>DSD A2/B1</t>
  </si>
  <si>
    <t>Sim11</t>
  </si>
  <si>
    <t>Ex 9</t>
  </si>
  <si>
    <t>Ausflugstage</t>
  </si>
  <si>
    <t>Berufsorientierung</t>
  </si>
  <si>
    <t>Ausflugstag 3</t>
  </si>
  <si>
    <t>7.6 UERJ (Kl.12 !)</t>
  </si>
  <si>
    <t>Woche der dt. Sprache</t>
  </si>
  <si>
    <t>Zeugniskonfernzen</t>
  </si>
  <si>
    <r>
      <rPr>
        <sz val="8"/>
        <rFont val="Arial"/>
        <family val="2"/>
      </rPr>
      <t>Sim12/</t>
    </r>
    <r>
      <rPr>
        <b/>
        <sz val="8"/>
        <rFont val="Arial"/>
        <family val="2"/>
      </rPr>
      <t xml:space="preserve"> Zeugnisausgabe</t>
    </r>
  </si>
  <si>
    <t>Schulfest</t>
  </si>
  <si>
    <t>Sim 9 / Zeugniskonfernzen</t>
  </si>
  <si>
    <t>Sim 10</t>
  </si>
  <si>
    <t>2. Halbjahr 2020</t>
  </si>
  <si>
    <t>DSD 2</t>
  </si>
  <si>
    <t>DSD 1 / Abitur</t>
  </si>
  <si>
    <t>Abitur</t>
  </si>
  <si>
    <t>Ex 11 / Abitur</t>
  </si>
  <si>
    <t>Ex 11</t>
  </si>
  <si>
    <t>ZK</t>
  </si>
  <si>
    <t>ZK / DSD 2 mdl</t>
  </si>
  <si>
    <t>DSD 2 mdl</t>
  </si>
  <si>
    <t>Wissenschaftstag</t>
  </si>
  <si>
    <t>Sim12/DSD1 mdl</t>
  </si>
  <si>
    <t xml:space="preserve">ZK </t>
  </si>
  <si>
    <t>ALEMUN</t>
  </si>
  <si>
    <t>Ausflugstag 2 / ALEMUN</t>
  </si>
  <si>
    <t>Kartoffelferien</t>
  </si>
  <si>
    <t>mdl. Abitur</t>
  </si>
  <si>
    <t>Sim 11</t>
  </si>
  <si>
    <t xml:space="preserve">ENEM </t>
  </si>
  <si>
    <t>2°ch (10+12)</t>
  </si>
  <si>
    <t>Zeugniskonferenzen</t>
  </si>
  <si>
    <t>Formatura</t>
  </si>
  <si>
    <t>Zeugnisausgabe</t>
  </si>
  <si>
    <t>Konferenz</t>
  </si>
  <si>
    <t>Sommerferien</t>
  </si>
  <si>
    <t>TURMA 9C1</t>
  </si>
  <si>
    <t>SÁBADO</t>
  </si>
  <si>
    <t>DaF (2) SGa, Eth</t>
  </si>
  <si>
    <t>DSD1</t>
  </si>
  <si>
    <t>ING (2) Pah, Bea, Vir</t>
  </si>
  <si>
    <t>Mat (2) HRi</t>
  </si>
  <si>
    <t>DSD ORAL</t>
  </si>
  <si>
    <t>GEO (2) Mar</t>
  </si>
  <si>
    <t>Bio (2) Ale</t>
  </si>
  <si>
    <t>HIS (2) - JUL</t>
  </si>
  <si>
    <t>PGRAM (2) ACo</t>
  </si>
  <si>
    <t>PRED (2)   RAF</t>
  </si>
  <si>
    <t>2 CHA</t>
  </si>
  <si>
    <t>Cartas AZUIS</t>
  </si>
  <si>
    <t>SAT</t>
  </si>
  <si>
    <t>AR</t>
  </si>
  <si>
    <t>sim.  REDACIONAR</t>
  </si>
  <si>
    <t>AG</t>
  </si>
  <si>
    <t>unterrichtsfrei sem aula</t>
  </si>
  <si>
    <t>IELTS</t>
  </si>
  <si>
    <t>FER</t>
  </si>
  <si>
    <t>QUI(1)Fab</t>
  </si>
  <si>
    <t>GL (1) EFr, SGa</t>
  </si>
  <si>
    <t xml:space="preserve">Fis (1) </t>
  </si>
  <si>
    <t>cc</t>
  </si>
  <si>
    <t>IC</t>
  </si>
  <si>
    <t>RGP</t>
  </si>
  <si>
    <t>TURMA 9C2</t>
  </si>
  <si>
    <t>DaF (2) Swa, EFr</t>
  </si>
  <si>
    <t>HIS (2)</t>
  </si>
  <si>
    <t>TURMA 10C1</t>
  </si>
  <si>
    <t>DAF (2) (SGa, EFr, Swa)</t>
  </si>
  <si>
    <t>FIS (2)</t>
  </si>
  <si>
    <t>GL (2) Efr, Swa, Car</t>
  </si>
  <si>
    <t>Bio (2) Fsi</t>
  </si>
  <si>
    <t>QUI (2) CAL</t>
  </si>
  <si>
    <t>HIST (2) ALu</t>
  </si>
  <si>
    <t>PORT (3) ACo, AMu e Deb</t>
  </si>
  <si>
    <t>ING (2) Pah</t>
  </si>
  <si>
    <t>MAT (2)           BrSa e HRi</t>
  </si>
  <si>
    <t>GEO(2) Rios</t>
  </si>
  <si>
    <t>PRAZO FINAL DE LANÇAMENTO (NC tendência, prova se tiver)</t>
  </si>
  <si>
    <t>AG2-10</t>
  </si>
  <si>
    <t>Soc (1)</t>
  </si>
  <si>
    <t>Fil (2) Lan</t>
  </si>
  <si>
    <t>IN10</t>
  </si>
  <si>
    <t>TURMA 10C2</t>
  </si>
  <si>
    <t>ING (2) Vir</t>
  </si>
  <si>
    <t>Fil_Lan</t>
  </si>
  <si>
    <t>2CHA</t>
  </si>
  <si>
    <t>TURMA 11C1</t>
  </si>
  <si>
    <t>VIAGEM</t>
  </si>
  <si>
    <t>HIS (2) Wag</t>
  </si>
  <si>
    <t>PORT (3), Mfo, Jana e Raf</t>
  </si>
  <si>
    <t>GL (1) Swa, EFr, Car</t>
  </si>
  <si>
    <t>MAT (2) Bruno e JJ</t>
  </si>
  <si>
    <t>DAF (2) (SGa, EFr, Swa, CBu)</t>
  </si>
  <si>
    <t>FIS(2) CADU</t>
  </si>
  <si>
    <t>QUI(2)Fab</t>
  </si>
  <si>
    <t>** Bio (2) Ale</t>
  </si>
  <si>
    <t>S3-11</t>
  </si>
  <si>
    <t xml:space="preserve">J A </t>
  </si>
  <si>
    <t>PORT (3) Mfo, Jana e Raf</t>
  </si>
  <si>
    <t>S4-11</t>
  </si>
  <si>
    <t>ENEM</t>
  </si>
  <si>
    <t>COE</t>
  </si>
  <si>
    <t>**</t>
  </si>
  <si>
    <t>A Segunda chamada da primeira prova de Biologia ocorrerá no dia 17.09</t>
  </si>
  <si>
    <t>TURMA 11C2</t>
  </si>
  <si>
    <t>PORT (3) - Mfo, Jana e Raf</t>
  </si>
  <si>
    <t>GL (1) EFr, CBu</t>
  </si>
  <si>
    <t>J A</t>
  </si>
  <si>
    <t>TURMA 12C1</t>
  </si>
  <si>
    <t>DOMINGO</t>
  </si>
  <si>
    <t>DaF (3) Swa, CBu</t>
  </si>
  <si>
    <t>DSD2</t>
  </si>
  <si>
    <t>PORT (3) Deb e AMu</t>
  </si>
  <si>
    <t>HIST(2)Ver</t>
  </si>
  <si>
    <t>QUI(2)Fab,CAI</t>
  </si>
  <si>
    <t>MAT (2) JJ</t>
  </si>
  <si>
    <r>
      <rPr>
        <b/>
        <sz val="8"/>
        <color rgb="FF000000"/>
        <rFont val="Arial"/>
      </rPr>
      <t xml:space="preserve">PRAZO FINAL DE LANÇAMENTO (NC tendência, prova se tiver)
</t>
    </r>
    <r>
      <rPr>
        <b/>
        <sz val="16"/>
        <color rgb="FF000000"/>
        <rFont val="Arial"/>
      </rPr>
      <t>S4-12</t>
    </r>
  </si>
  <si>
    <r>
      <rPr>
        <b/>
        <sz val="14"/>
        <color rgb="FF000000"/>
        <rFont val="Arial"/>
      </rPr>
      <t>Cartas AZUIS e</t>
    </r>
    <r>
      <rPr>
        <b/>
        <sz val="16"/>
        <color rgb="FF000000"/>
        <rFont val="Arial"/>
      </rPr>
      <t xml:space="preserve"> S4-12</t>
    </r>
  </si>
  <si>
    <t>AULÃO</t>
  </si>
  <si>
    <t>PUC</t>
  </si>
  <si>
    <t xml:space="preserve">ING (2) Pah </t>
  </si>
  <si>
    <t>FGV</t>
  </si>
  <si>
    <t>z'</t>
  </si>
  <si>
    <t>VEST.IBMEC</t>
  </si>
  <si>
    <t>VEST.ESPM</t>
  </si>
  <si>
    <t>F12</t>
  </si>
  <si>
    <t>Avaliação de ARTES NO EM</t>
  </si>
  <si>
    <t>"A avaliação de música consiste na observação do empenho e comprometimento individual nas dinâmicas e projetos propostos em sala de aula bem como o desenvolvimento técnico na execução musical durante a prática de conjunto.  Por semestre, serão realizadas duas avaliações: uma  técnica e a outra acerca dos conhecimentos teóricos aplicados à prática instrumental/vocal.  As avaliações são feitas ao longo do cronograma estabelecido para a elaboração e realização de cada projeto."</t>
  </si>
  <si>
    <t>AVALIAÇÃO DE MÚSICA TURMA 9</t>
  </si>
  <si>
    <t>A avaliação de música consiste em trabalhos práticos de execução e/ou composição musical, com cronograma estabelecido para a elaboração e realização de cada projeto, sempre em aula. Por semestre, serão realizados 5 ou 6 trabalhos, preferencialmente em grupo.</t>
  </si>
  <si>
    <t>PORT</t>
  </si>
  <si>
    <t>ING</t>
  </si>
  <si>
    <t>MAT</t>
  </si>
  <si>
    <t>DAF</t>
  </si>
  <si>
    <t>HIS</t>
  </si>
  <si>
    <t>GEO</t>
  </si>
  <si>
    <t>BIO</t>
  </si>
  <si>
    <t>HIST. (10C1/C2), (2T)/</t>
  </si>
  <si>
    <t>QUI</t>
  </si>
  <si>
    <t>Wagner e Ana</t>
  </si>
  <si>
    <t>FIS</t>
  </si>
  <si>
    <t>Exemplo</t>
  </si>
  <si>
    <t>ART</t>
  </si>
  <si>
    <t>MAT(2)  BRENER</t>
  </si>
  <si>
    <t>ESP</t>
  </si>
  <si>
    <t>GL</t>
  </si>
  <si>
    <t>NAWI</t>
  </si>
  <si>
    <t>SOC</t>
  </si>
  <si>
    <t>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</si>
</sst>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"/>
    <numFmt numFmtId="165" formatCode="dd/mm/yy;@"/>
  </numFmts>
  <fonts count="57">
    <font>
      <sz val="12"/>
      <name val="Arial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2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sz val="16"/>
      <color indexed="57"/>
      <name val="Arial"/>
      <family val="2"/>
    </font>
    <font>
      <b/>
      <sz val="12"/>
      <color indexed="12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indexed="12"/>
      <name val="Arial"/>
      <family val="2"/>
    </font>
    <font>
      <sz val="11"/>
      <name val="Arial"/>
      <family val="2"/>
    </font>
    <font>
      <sz val="6"/>
      <name val="Arial"/>
      <family val="2"/>
    </font>
    <font>
      <sz val="7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color rgb="FF000000"/>
      <name val="Calibri"/>
      <family val="2"/>
    </font>
    <font>
      <sz val="11"/>
      <color rgb="FF201F1E"/>
      <name val="Segoe UI"/>
      <family val="2"/>
    </font>
    <font>
      <b/>
      <sz val="12"/>
      <name val="Arial"/>
    </font>
    <font>
      <b/>
      <sz val="11"/>
      <name val="Arial"/>
      <family val="2"/>
    </font>
    <font>
      <sz val="8"/>
      <color rgb="FF000000"/>
      <name val="Arial"/>
    </font>
    <font>
      <sz val="8"/>
      <color rgb="FF000000"/>
      <name val="Arial"/>
      <charset val="1"/>
    </font>
    <font>
      <sz val="12"/>
      <color rgb="FFFFFFFF"/>
      <name val="Arial"/>
    </font>
    <font>
      <sz val="14"/>
      <name val="Arial"/>
    </font>
    <font>
      <sz val="11"/>
      <name val="Arial"/>
    </font>
    <font>
      <b/>
      <sz val="12"/>
      <color rgb="FFFF0000"/>
      <name val="Arial"/>
      <charset val="1"/>
    </font>
    <font>
      <b/>
      <sz val="14"/>
      <color rgb="FF000000"/>
      <name val="Arial"/>
      <family val="2"/>
    </font>
    <font>
      <b/>
      <sz val="14"/>
      <color rgb="FFFF0000"/>
      <name val="Arial"/>
      <family val="2"/>
    </font>
    <font>
      <b/>
      <sz val="14"/>
      <color theme="0"/>
      <name val="Arial"/>
      <family val="2"/>
    </font>
    <font>
      <sz val="12"/>
      <color rgb="FF000000"/>
      <name val="Arial"/>
    </font>
    <font>
      <b/>
      <sz val="12"/>
      <color theme="0"/>
      <name val="Arial"/>
    </font>
    <font>
      <b/>
      <sz val="12"/>
      <color rgb="FF000000"/>
      <name val="Arial"/>
    </font>
    <font>
      <sz val="22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</font>
    <font>
      <b/>
      <sz val="11"/>
      <color rgb="FF000000"/>
      <name val="Arial"/>
    </font>
    <font>
      <b/>
      <sz val="11"/>
      <color rgb="FF000000"/>
      <name val="Arial"/>
      <family val="2"/>
    </font>
    <font>
      <b/>
      <sz val="12"/>
      <color rgb="FFFFFFFF"/>
      <name val="Arial"/>
    </font>
    <font>
      <b/>
      <sz val="10"/>
      <color theme="0"/>
      <name val="Arial"/>
      <family val="2"/>
    </font>
    <font>
      <b/>
      <sz val="10"/>
      <color rgb="FFFFFFFF"/>
      <name val="Arial"/>
    </font>
    <font>
      <b/>
      <sz val="12"/>
      <color theme="0"/>
      <name val="Aptos Narrow"/>
      <charset val="1"/>
    </font>
    <font>
      <b/>
      <sz val="8"/>
      <color rgb="FF000000"/>
      <name val="Arial"/>
    </font>
    <font>
      <b/>
      <sz val="16"/>
      <color rgb="FF000000"/>
      <name val="Arial"/>
    </font>
    <font>
      <b/>
      <sz val="14"/>
      <color rgb="FF000000"/>
      <name val="Arial"/>
    </font>
    <font>
      <b/>
      <sz val="12"/>
      <color rgb="FF000000"/>
      <name val="Arial"/>
      <charset val="1"/>
    </font>
    <font>
      <b/>
      <sz val="12"/>
      <color theme="0"/>
      <name val="Arial"/>
      <family val="2"/>
    </font>
    <font>
      <sz val="12"/>
      <color rgb="FFFF0000"/>
      <name val="Arial"/>
    </font>
    <font>
      <sz val="16"/>
      <name val="Arial"/>
      <family val="2"/>
    </font>
    <font>
      <b/>
      <sz val="16"/>
      <color theme="0"/>
      <name val="Arial"/>
      <family val="2"/>
    </font>
    <font>
      <b/>
      <sz val="12"/>
      <color rgb="FF000000"/>
      <name val="Cambria"/>
      <scheme val="major"/>
    </font>
    <font>
      <b/>
      <sz val="12"/>
      <color rgb="FF000000"/>
      <name val="Calibri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AD76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theme="1"/>
      </left>
      <right style="thin">
        <color theme="1"/>
      </right>
      <top style="double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theme="1"/>
      </left>
      <right style="medium">
        <color indexed="64"/>
      </right>
      <top style="double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double">
        <color indexed="8"/>
      </right>
      <top style="medium">
        <color indexed="64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8" fillId="0" borderId="0"/>
    <xf numFmtId="0" fontId="1" fillId="0" borderId="0"/>
  </cellStyleXfs>
  <cellXfs count="312">
    <xf numFmtId="0" fontId="0" fillId="0" borderId="0" xfId="0"/>
    <xf numFmtId="0" fontId="5" fillId="0" borderId="0" xfId="0" applyFont="1"/>
    <xf numFmtId="0" fontId="6" fillId="0" borderId="0" xfId="0" applyFont="1" applyAlignment="1">
      <alignment horizontal="right" vertical="center"/>
    </xf>
    <xf numFmtId="164" fontId="7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textRotation="15"/>
    </xf>
    <xf numFmtId="0" fontId="8" fillId="3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right" wrapText="1"/>
    </xf>
    <xf numFmtId="0" fontId="15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right" wrapText="1"/>
    </xf>
    <xf numFmtId="0" fontId="10" fillId="0" borderId="0" xfId="0" applyFont="1" applyAlignment="1">
      <alignment horizontal="left" vertical="center"/>
    </xf>
    <xf numFmtId="14" fontId="14" fillId="0" borderId="0" xfId="0" applyNumberFormat="1" applyFont="1" applyAlignment="1">
      <alignment horizontal="left" vertical="center"/>
    </xf>
    <xf numFmtId="0" fontId="5" fillId="2" borderId="5" xfId="0" applyFont="1" applyFill="1" applyBorder="1" applyAlignment="1">
      <alignment horizontal="right" wrapText="1"/>
    </xf>
    <xf numFmtId="0" fontId="5" fillId="0" borderId="9" xfId="0" applyFont="1" applyBorder="1" applyAlignment="1">
      <alignment horizontal="right" wrapText="1"/>
    </xf>
    <xf numFmtId="0" fontId="10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right" wrapText="1"/>
    </xf>
    <xf numFmtId="0" fontId="17" fillId="9" borderId="22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3" fillId="11" borderId="22" xfId="0" applyFont="1" applyFill="1" applyBorder="1" applyAlignment="1">
      <alignment horizontal="right" wrapText="1"/>
    </xf>
    <xf numFmtId="0" fontId="18" fillId="0" borderId="22" xfId="0" applyFont="1" applyBorder="1" applyAlignment="1">
      <alignment horizontal="right" wrapText="1"/>
    </xf>
    <xf numFmtId="0" fontId="3" fillId="0" borderId="23" xfId="0" applyFont="1" applyBorder="1" applyAlignment="1">
      <alignment horizontal="right" wrapText="1"/>
    </xf>
    <xf numFmtId="0" fontId="6" fillId="0" borderId="25" xfId="0" applyFont="1" applyBorder="1" applyAlignment="1">
      <alignment horizontal="center" vertical="center" wrapText="1"/>
    </xf>
    <xf numFmtId="165" fontId="5" fillId="0" borderId="26" xfId="0" applyNumberFormat="1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right" wrapText="1"/>
    </xf>
    <xf numFmtId="0" fontId="3" fillId="0" borderId="29" xfId="0" applyFont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0" fillId="0" borderId="22" xfId="0" applyFont="1" applyBorder="1" applyAlignment="1">
      <alignment horizontal="right" wrapText="1"/>
    </xf>
    <xf numFmtId="0" fontId="10" fillId="0" borderId="11" xfId="0" applyFont="1" applyBorder="1" applyAlignment="1">
      <alignment horizontal="right" wrapText="1"/>
    </xf>
    <xf numFmtId="0" fontId="10" fillId="0" borderId="24" xfId="0" applyFont="1" applyBorder="1" applyAlignment="1">
      <alignment horizontal="right" wrapText="1"/>
    </xf>
    <xf numFmtId="0" fontId="3" fillId="0" borderId="22" xfId="0" applyFont="1" applyBorder="1" applyAlignment="1">
      <alignment horizontal="right" wrapText="1"/>
    </xf>
    <xf numFmtId="0" fontId="10" fillId="0" borderId="22" xfId="0" applyFont="1" applyBorder="1" applyAlignment="1">
      <alignment horizontal="right"/>
    </xf>
    <xf numFmtId="0" fontId="15" fillId="0" borderId="5" xfId="0" applyFont="1" applyBorder="1" applyAlignment="1">
      <alignment horizontal="right" wrapText="1"/>
    </xf>
    <xf numFmtId="0" fontId="6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10" fillId="9" borderId="5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right" wrapText="1"/>
    </xf>
    <xf numFmtId="0" fontId="4" fillId="0" borderId="0" xfId="0" applyFont="1" applyAlignment="1">
      <alignment horizontal="left" vertical="center"/>
    </xf>
    <xf numFmtId="0" fontId="3" fillId="0" borderId="13" xfId="0" applyFont="1" applyBorder="1" applyAlignment="1">
      <alignment horizontal="center" vertical="center" wrapText="1"/>
    </xf>
    <xf numFmtId="164" fontId="5" fillId="0" borderId="3" xfId="0" quotePrefix="1" applyNumberFormat="1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5" fillId="0" borderId="27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165" fontId="8" fillId="0" borderId="5" xfId="0" applyNumberFormat="1" applyFont="1" applyBorder="1" applyAlignment="1">
      <alignment horizontal="center" vertical="center" wrapText="1"/>
    </xf>
    <xf numFmtId="164" fontId="8" fillId="0" borderId="5" xfId="0" quotePrefix="1" applyNumberFormat="1" applyFont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 wrapText="1"/>
    </xf>
    <xf numFmtId="0" fontId="0" fillId="2" borderId="37" xfId="0" applyFill="1" applyBorder="1"/>
    <xf numFmtId="0" fontId="24" fillId="2" borderId="37" xfId="0" applyFont="1" applyFill="1" applyBorder="1" applyAlignment="1">
      <alignment wrapText="1"/>
    </xf>
    <xf numFmtId="0" fontId="26" fillId="14" borderId="0" xfId="0" applyFont="1" applyFill="1" applyAlignment="1">
      <alignment horizontal="left"/>
    </xf>
    <xf numFmtId="0" fontId="27" fillId="14" borderId="0" xfId="0" applyFont="1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28" fillId="18" borderId="0" xfId="0" applyFont="1" applyFill="1"/>
    <xf numFmtId="0" fontId="0" fillId="12" borderId="0" xfId="0" applyFill="1"/>
    <xf numFmtId="0" fontId="0" fillId="19" borderId="0" xfId="0" applyFill="1"/>
    <xf numFmtId="0" fontId="28" fillId="13" borderId="0" xfId="0" applyFont="1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21" fillId="0" borderId="0" xfId="0" applyFont="1" applyAlignment="1">
      <alignment horizontal="right" vertical="center"/>
    </xf>
    <xf numFmtId="0" fontId="21" fillId="0" borderId="19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9" fillId="0" borderId="0" xfId="0" applyFont="1"/>
    <xf numFmtId="0" fontId="25" fillId="0" borderId="13" xfId="0" applyFont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30" fillId="0" borderId="0" xfId="0" applyFont="1"/>
    <xf numFmtId="0" fontId="0" fillId="11" borderId="0" xfId="0" applyFill="1"/>
    <xf numFmtId="0" fontId="0" fillId="0" borderId="0" xfId="0" applyAlignment="1">
      <alignment horizontal="center"/>
    </xf>
    <xf numFmtId="0" fontId="31" fillId="0" borderId="0" xfId="0" applyFont="1" applyAlignment="1">
      <alignment wrapText="1"/>
    </xf>
    <xf numFmtId="165" fontId="8" fillId="0" borderId="11" xfId="0" applyNumberFormat="1" applyFont="1" applyBorder="1" applyAlignment="1">
      <alignment horizontal="center" vertical="center" wrapText="1"/>
    </xf>
    <xf numFmtId="164" fontId="8" fillId="0" borderId="11" xfId="0" quotePrefix="1" applyNumberFormat="1" applyFont="1" applyBorder="1" applyAlignment="1">
      <alignment horizontal="center" vertical="center" wrapText="1"/>
    </xf>
    <xf numFmtId="165" fontId="8" fillId="0" borderId="28" xfId="0" applyNumberFormat="1" applyFont="1" applyBorder="1" applyAlignment="1">
      <alignment horizontal="center" vertical="center" wrapText="1"/>
    </xf>
    <xf numFmtId="164" fontId="8" fillId="0" borderId="28" xfId="0" quotePrefix="1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1" fillId="0" borderId="0" xfId="0" applyFont="1" applyAlignment="1">
      <alignment vertical="center"/>
    </xf>
    <xf numFmtId="0" fontId="14" fillId="23" borderId="37" xfId="0" applyFont="1" applyFill="1" applyBorder="1" applyAlignment="1">
      <alignment horizontal="center" vertical="center" wrapText="1"/>
    </xf>
    <xf numFmtId="164" fontId="21" fillId="0" borderId="33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65" fontId="8" fillId="0" borderId="31" xfId="0" applyNumberFormat="1" applyFont="1" applyBorder="1" applyAlignment="1">
      <alignment horizontal="center" vertical="center" wrapText="1"/>
    </xf>
    <xf numFmtId="165" fontId="8" fillId="0" borderId="39" xfId="0" applyNumberFormat="1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wrapText="1"/>
    </xf>
    <xf numFmtId="0" fontId="24" fillId="0" borderId="8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36" fillId="0" borderId="8" xfId="0" applyFont="1" applyBorder="1" applyAlignment="1">
      <alignment horizontal="center" wrapText="1"/>
    </xf>
    <xf numFmtId="0" fontId="0" fillId="0" borderId="8" xfId="0" applyBorder="1" applyAlignment="1">
      <alignment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32" fillId="2" borderId="8" xfId="0" applyFont="1" applyFill="1" applyBorder="1" applyAlignment="1">
      <alignment horizontal="center" vertical="center" wrapText="1"/>
    </xf>
    <xf numFmtId="0" fontId="14" fillId="24" borderId="37" xfId="0" applyFont="1" applyFill="1" applyBorder="1" applyAlignment="1">
      <alignment horizontal="center" vertical="center" wrapText="1"/>
    </xf>
    <xf numFmtId="0" fontId="8" fillId="0" borderId="0" xfId="0" applyFont="1"/>
    <xf numFmtId="0" fontId="14" fillId="25" borderId="8" xfId="0" applyFont="1" applyFill="1" applyBorder="1" applyAlignment="1">
      <alignment horizontal="center" vertical="center" wrapText="1"/>
    </xf>
    <xf numFmtId="0" fontId="20" fillId="25" borderId="8" xfId="0" applyFont="1" applyFill="1" applyBorder="1" applyAlignment="1">
      <alignment horizontal="center" vertical="center" wrapText="1"/>
    </xf>
    <xf numFmtId="0" fontId="20" fillId="26" borderId="8" xfId="0" applyFont="1" applyFill="1" applyBorder="1" applyAlignment="1">
      <alignment horizontal="center" vertical="center" wrapText="1"/>
    </xf>
    <xf numFmtId="0" fontId="20" fillId="27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8" fillId="2" borderId="8" xfId="0" applyFont="1" applyFill="1" applyBorder="1" applyAlignment="1">
      <alignment horizontal="center" vertical="center" wrapText="1"/>
    </xf>
    <xf numFmtId="0" fontId="34" fillId="13" borderId="8" xfId="0" applyFont="1" applyFill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3" fillId="28" borderId="37" xfId="0" applyFont="1" applyFill="1" applyBorder="1" applyAlignment="1">
      <alignment horizontal="center" vertical="top" wrapText="1"/>
    </xf>
    <xf numFmtId="0" fontId="20" fillId="10" borderId="8" xfId="0" applyFont="1" applyFill="1" applyBorder="1" applyAlignment="1">
      <alignment horizontal="center" vertical="center" wrapText="1"/>
    </xf>
    <xf numFmtId="0" fontId="39" fillId="26" borderId="8" xfId="0" applyFont="1" applyFill="1" applyBorder="1" applyAlignment="1">
      <alignment horizontal="center" vertical="center" wrapText="1"/>
    </xf>
    <xf numFmtId="0" fontId="0" fillId="26" borderId="8" xfId="0" applyFill="1" applyBorder="1" applyAlignment="1">
      <alignment horizontal="center" vertical="center" wrapText="1"/>
    </xf>
    <xf numFmtId="0" fontId="14" fillId="29" borderId="8" xfId="0" applyFont="1" applyFill="1" applyBorder="1" applyAlignment="1">
      <alignment horizontal="center" vertical="center" wrapText="1"/>
    </xf>
    <xf numFmtId="0" fontId="14" fillId="30" borderId="8" xfId="0" applyFont="1" applyFill="1" applyBorder="1" applyAlignment="1">
      <alignment horizontal="center" vertical="center" wrapText="1"/>
    </xf>
    <xf numFmtId="0" fontId="34" fillId="26" borderId="8" xfId="0" applyFont="1" applyFill="1" applyBorder="1" applyAlignment="1">
      <alignment horizontal="center" vertical="center" wrapText="1"/>
    </xf>
    <xf numFmtId="0" fontId="40" fillId="0" borderId="8" xfId="0" applyFont="1" applyBorder="1" applyAlignment="1">
      <alignment horizontal="center" wrapText="1"/>
    </xf>
    <xf numFmtId="0" fontId="41" fillId="29" borderId="8" xfId="0" applyFont="1" applyFill="1" applyBorder="1" applyAlignment="1">
      <alignment horizontal="center" vertical="center" wrapText="1"/>
    </xf>
    <xf numFmtId="0" fontId="42" fillId="31" borderId="8" xfId="0" applyFont="1" applyFill="1" applyBorder="1" applyAlignment="1">
      <alignment horizontal="center" vertical="center" wrapText="1"/>
    </xf>
    <xf numFmtId="0" fontId="20" fillId="32" borderId="8" xfId="0" applyFont="1" applyFill="1" applyBorder="1" applyAlignment="1">
      <alignment horizontal="center" vertical="center" wrapText="1"/>
    </xf>
    <xf numFmtId="0" fontId="25" fillId="32" borderId="8" xfId="0" applyFont="1" applyFill="1" applyBorder="1" applyAlignment="1">
      <alignment horizontal="center" vertical="center" wrapText="1"/>
    </xf>
    <xf numFmtId="0" fontId="37" fillId="33" borderId="8" xfId="0" applyFont="1" applyFill="1" applyBorder="1" applyAlignment="1">
      <alignment horizontal="center" vertical="center" wrapText="1"/>
    </xf>
    <xf numFmtId="0" fontId="0" fillId="35" borderId="8" xfId="0" applyFill="1" applyBorder="1" applyAlignment="1">
      <alignment horizontal="center" vertical="center" wrapText="1"/>
    </xf>
    <xf numFmtId="0" fontId="20" fillId="17" borderId="8" xfId="0" applyFont="1" applyFill="1" applyBorder="1" applyAlignment="1">
      <alignment horizontal="center" vertical="center" wrapText="1"/>
    </xf>
    <xf numFmtId="0" fontId="37" fillId="17" borderId="8" xfId="0" applyFont="1" applyFill="1" applyBorder="1" applyAlignment="1">
      <alignment horizontal="center" vertical="center" wrapText="1"/>
    </xf>
    <xf numFmtId="0" fontId="25" fillId="17" borderId="8" xfId="0" applyFont="1" applyFill="1" applyBorder="1" applyAlignment="1">
      <alignment horizontal="center" vertical="center" wrapText="1"/>
    </xf>
    <xf numFmtId="0" fontId="37" fillId="26" borderId="8" xfId="0" applyFont="1" applyFill="1" applyBorder="1" applyAlignment="1">
      <alignment horizontal="center" vertical="center" wrapText="1"/>
    </xf>
    <xf numFmtId="0" fontId="4" fillId="17" borderId="8" xfId="0" applyFont="1" applyFill="1" applyBorder="1" applyAlignment="1">
      <alignment horizontal="center" vertical="center" wrapText="1"/>
    </xf>
    <xf numFmtId="0" fontId="4" fillId="26" borderId="8" xfId="0" applyFont="1" applyFill="1" applyBorder="1" applyAlignment="1">
      <alignment horizontal="center" vertical="center" wrapText="1"/>
    </xf>
    <xf numFmtId="0" fontId="20" fillId="15" borderId="8" xfId="0" applyFont="1" applyFill="1" applyBorder="1" applyAlignment="1">
      <alignment horizontal="center" vertical="center" wrapText="1"/>
    </xf>
    <xf numFmtId="0" fontId="32" fillId="34" borderId="8" xfId="0" applyFont="1" applyFill="1" applyBorder="1" applyAlignment="1">
      <alignment horizontal="center" vertical="center" wrapText="1"/>
    </xf>
    <xf numFmtId="0" fontId="32" fillId="36" borderId="8" xfId="0" applyFont="1" applyFill="1" applyBorder="1" applyAlignment="1">
      <alignment horizontal="center" vertical="center" wrapText="1"/>
    </xf>
    <xf numFmtId="0" fontId="20" fillId="2" borderId="42" xfId="0" applyFont="1" applyFill="1" applyBorder="1" applyAlignment="1">
      <alignment horizontal="center" vertical="center" wrapText="1"/>
    </xf>
    <xf numFmtId="0" fontId="20" fillId="32" borderId="41" xfId="0" applyFont="1" applyFill="1" applyBorder="1" applyAlignment="1">
      <alignment horizontal="center" vertical="center" wrapText="1"/>
    </xf>
    <xf numFmtId="0" fontId="14" fillId="29" borderId="43" xfId="0" applyFont="1" applyFill="1" applyBorder="1" applyAlignment="1">
      <alignment horizontal="center" vertical="center" wrapText="1"/>
    </xf>
    <xf numFmtId="0" fontId="33" fillId="0" borderId="44" xfId="0" applyFont="1" applyBorder="1" applyAlignment="1">
      <alignment horizontal="center" vertical="center" wrapText="1"/>
    </xf>
    <xf numFmtId="0" fontId="24" fillId="15" borderId="0" xfId="0" applyFont="1" applyFill="1" applyAlignment="1">
      <alignment wrapText="1"/>
    </xf>
    <xf numFmtId="0" fontId="24" fillId="16" borderId="0" xfId="0" applyFont="1" applyFill="1" applyAlignment="1">
      <alignment wrapText="1"/>
    </xf>
    <xf numFmtId="0" fontId="24" fillId="17" borderId="0" xfId="0" applyFont="1" applyFill="1" applyAlignment="1">
      <alignment wrapText="1"/>
    </xf>
    <xf numFmtId="0" fontId="43" fillId="18" borderId="0" xfId="0" applyFont="1" applyFill="1" applyAlignment="1">
      <alignment wrapText="1"/>
    </xf>
    <xf numFmtId="0" fontId="24" fillId="12" borderId="0" xfId="0" applyFont="1" applyFill="1" applyAlignment="1">
      <alignment wrapText="1"/>
    </xf>
    <xf numFmtId="0" fontId="24" fillId="19" borderId="0" xfId="0" applyFont="1" applyFill="1" applyAlignment="1">
      <alignment wrapText="1"/>
    </xf>
    <xf numFmtId="0" fontId="43" fillId="13" borderId="0" xfId="0" applyFont="1" applyFill="1" applyAlignment="1">
      <alignment wrapText="1"/>
    </xf>
    <xf numFmtId="0" fontId="24" fillId="20" borderId="0" xfId="0" applyFont="1" applyFill="1" applyAlignment="1">
      <alignment wrapText="1"/>
    </xf>
    <xf numFmtId="0" fontId="14" fillId="0" borderId="8" xfId="0" applyFont="1" applyBorder="1" applyAlignment="1">
      <alignment horizontal="center" vertical="top" wrapText="1"/>
    </xf>
    <xf numFmtId="0" fontId="20" fillId="0" borderId="8" xfId="0" applyFont="1" applyBorder="1" applyAlignment="1">
      <alignment horizontal="center" vertical="top" wrapText="1"/>
    </xf>
    <xf numFmtId="0" fontId="20" fillId="25" borderId="8" xfId="0" applyFont="1" applyFill="1" applyBorder="1" applyAlignment="1">
      <alignment horizontal="center" vertical="top" wrapText="1"/>
    </xf>
    <xf numFmtId="0" fontId="43" fillId="18" borderId="0" xfId="0" applyFont="1" applyFill="1" applyAlignment="1">
      <alignment horizontal="center" vertical="top" wrapText="1"/>
    </xf>
    <xf numFmtId="0" fontId="32" fillId="2" borderId="8" xfId="0" applyFont="1" applyFill="1" applyBorder="1" applyAlignment="1">
      <alignment horizontal="center" vertical="top" wrapText="1"/>
    </xf>
    <xf numFmtId="0" fontId="24" fillId="17" borderId="0" xfId="0" applyFont="1" applyFill="1" applyAlignment="1">
      <alignment horizontal="center" vertical="top" wrapText="1"/>
    </xf>
    <xf numFmtId="0" fontId="24" fillId="19" borderId="0" xfId="0" applyFont="1" applyFill="1" applyAlignment="1">
      <alignment horizontal="center" vertical="top" wrapText="1"/>
    </xf>
    <xf numFmtId="0" fontId="24" fillId="16" borderId="0" xfId="0" applyFont="1" applyFill="1" applyAlignment="1">
      <alignment horizontal="center" vertical="top" wrapText="1"/>
    </xf>
    <xf numFmtId="0" fontId="43" fillId="13" borderId="0" xfId="0" applyFont="1" applyFill="1" applyAlignment="1">
      <alignment horizontal="center" vertical="top" wrapText="1"/>
    </xf>
    <xf numFmtId="0" fontId="24" fillId="12" borderId="0" xfId="0" applyFont="1" applyFill="1" applyAlignment="1">
      <alignment horizontal="center" vertical="top" wrapText="1"/>
    </xf>
    <xf numFmtId="0" fontId="24" fillId="15" borderId="0" xfId="0" applyFont="1" applyFill="1" applyAlignment="1">
      <alignment horizontal="center" vertical="top" wrapText="1"/>
    </xf>
    <xf numFmtId="0" fontId="34" fillId="13" borderId="8" xfId="0" applyFont="1" applyFill="1" applyBorder="1" applyAlignment="1">
      <alignment horizontal="center" vertical="top" wrapText="1"/>
    </xf>
    <xf numFmtId="0" fontId="20" fillId="6" borderId="8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4" fillId="0" borderId="8" xfId="0" applyFont="1" applyBorder="1" applyAlignment="1">
      <alignment horizontal="center" vertical="top" wrapText="1"/>
    </xf>
    <xf numFmtId="0" fontId="20" fillId="26" borderId="8" xfId="0" applyFont="1" applyFill="1" applyBorder="1" applyAlignment="1">
      <alignment horizontal="center" vertical="top" wrapText="1"/>
    </xf>
    <xf numFmtId="0" fontId="34" fillId="0" borderId="8" xfId="0" applyFont="1" applyBorder="1" applyAlignment="1">
      <alignment horizontal="center" vertical="top" wrapText="1"/>
    </xf>
    <xf numFmtId="0" fontId="20" fillId="27" borderId="8" xfId="0" applyFont="1" applyFill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 wrapText="1"/>
    </xf>
    <xf numFmtId="0" fontId="14" fillId="23" borderId="37" xfId="0" applyFont="1" applyFill="1" applyBorder="1" applyAlignment="1">
      <alignment horizontal="center" vertical="top" wrapText="1"/>
    </xf>
    <xf numFmtId="0" fontId="35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21" fillId="0" borderId="8" xfId="0" applyFont="1" applyBorder="1" applyAlignment="1">
      <alignment horizontal="center" vertical="top" wrapText="1"/>
    </xf>
    <xf numFmtId="0" fontId="34" fillId="26" borderId="8" xfId="0" applyFont="1" applyFill="1" applyBorder="1" applyAlignment="1">
      <alignment horizontal="center" vertical="top" wrapText="1"/>
    </xf>
    <xf numFmtId="0" fontId="14" fillId="24" borderId="37" xfId="0" applyFont="1" applyFill="1" applyBorder="1" applyAlignment="1">
      <alignment horizontal="center" vertical="top" wrapText="1"/>
    </xf>
    <xf numFmtId="0" fontId="33" fillId="0" borderId="8" xfId="0" applyFont="1" applyBorder="1" applyAlignment="1">
      <alignment horizontal="center" vertical="top" wrapText="1"/>
    </xf>
    <xf numFmtId="0" fontId="24" fillId="20" borderId="0" xfId="0" applyFont="1" applyFill="1" applyAlignment="1">
      <alignment horizontal="center" vertical="top" wrapText="1"/>
    </xf>
    <xf numFmtId="0" fontId="40" fillId="0" borderId="8" xfId="0" applyFont="1" applyBorder="1" applyAlignment="1">
      <alignment horizontal="center" vertical="top" wrapText="1"/>
    </xf>
    <xf numFmtId="0" fontId="38" fillId="2" borderId="8" xfId="0" applyFont="1" applyFill="1" applyBorder="1" applyAlignment="1">
      <alignment horizontal="center" vertical="top" wrapText="1"/>
    </xf>
    <xf numFmtId="0" fontId="36" fillId="0" borderId="8" xfId="0" applyFont="1" applyBorder="1" applyAlignment="1">
      <alignment horizontal="center" vertical="top" wrapText="1"/>
    </xf>
    <xf numFmtId="0" fontId="14" fillId="25" borderId="8" xfId="0" applyFont="1" applyFill="1" applyBorder="1" applyAlignment="1">
      <alignment horizontal="center" vertical="top" wrapText="1"/>
    </xf>
    <xf numFmtId="0" fontId="24" fillId="21" borderId="0" xfId="0" applyFont="1" applyFill="1" applyAlignment="1">
      <alignment horizontal="center" vertical="center" wrapText="1"/>
    </xf>
    <xf numFmtId="0" fontId="24" fillId="15" borderId="0" xfId="0" applyFont="1" applyFill="1" applyAlignment="1">
      <alignment horizontal="center" vertical="center" wrapText="1"/>
    </xf>
    <xf numFmtId="0" fontId="24" fillId="16" borderId="0" xfId="0" applyFont="1" applyFill="1" applyAlignment="1">
      <alignment horizontal="center" vertical="center" wrapText="1"/>
    </xf>
    <xf numFmtId="0" fontId="24" fillId="17" borderId="0" xfId="0" applyFont="1" applyFill="1" applyAlignment="1">
      <alignment horizontal="center" vertical="center" wrapText="1"/>
    </xf>
    <xf numFmtId="0" fontId="24" fillId="12" borderId="0" xfId="0" applyFont="1" applyFill="1" applyAlignment="1">
      <alignment horizontal="center" vertical="center" wrapText="1"/>
    </xf>
    <xf numFmtId="0" fontId="24" fillId="19" borderId="0" xfId="0" applyFont="1" applyFill="1" applyAlignment="1">
      <alignment horizontal="center" vertical="center" wrapText="1"/>
    </xf>
    <xf numFmtId="0" fontId="43" fillId="13" borderId="0" xfId="0" applyFont="1" applyFill="1" applyAlignment="1">
      <alignment horizontal="center" vertical="center" wrapText="1"/>
    </xf>
    <xf numFmtId="0" fontId="24" fillId="20" borderId="0" xfId="0" applyFont="1" applyFill="1" applyAlignment="1">
      <alignment horizontal="center" vertical="center" wrapText="1"/>
    </xf>
    <xf numFmtId="0" fontId="24" fillId="11" borderId="0" xfId="0" applyFont="1" applyFill="1" applyAlignment="1">
      <alignment horizontal="center" vertical="center" wrapText="1"/>
    </xf>
    <xf numFmtId="0" fontId="36" fillId="37" borderId="8" xfId="0" applyFont="1" applyFill="1" applyBorder="1" applyAlignment="1">
      <alignment horizontal="center" wrapText="1"/>
    </xf>
    <xf numFmtId="0" fontId="44" fillId="18" borderId="8" xfId="0" applyFont="1" applyFill="1" applyBorder="1" applyAlignment="1">
      <alignment horizontal="center" vertical="center" wrapText="1"/>
    </xf>
    <xf numFmtId="0" fontId="45" fillId="18" borderId="8" xfId="0" applyFont="1" applyFill="1" applyBorder="1" applyAlignment="1">
      <alignment horizontal="center" vertical="center" wrapText="1"/>
    </xf>
    <xf numFmtId="0" fontId="44" fillId="37" borderId="8" xfId="0" applyFont="1" applyFill="1" applyBorder="1" applyAlignment="1">
      <alignment horizontal="center" vertical="center" wrapText="1"/>
    </xf>
    <xf numFmtId="0" fontId="46" fillId="37" borderId="0" xfId="0" applyFont="1" applyFill="1"/>
    <xf numFmtId="0" fontId="0" fillId="0" borderId="45" xfId="0" applyBorder="1"/>
    <xf numFmtId="0" fontId="49" fillId="2" borderId="8" xfId="0" applyFont="1" applyFill="1" applyBorder="1" applyAlignment="1">
      <alignment horizontal="center" vertical="center" wrapText="1"/>
    </xf>
    <xf numFmtId="0" fontId="50" fillId="38" borderId="0" xfId="0" applyFont="1" applyFill="1"/>
    <xf numFmtId="0" fontId="37" fillId="38" borderId="8" xfId="0" applyFont="1" applyFill="1" applyBorder="1" applyAlignment="1">
      <alignment vertical="center" wrapText="1"/>
    </xf>
    <xf numFmtId="0" fontId="4" fillId="34" borderId="8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vertical="center" wrapText="1"/>
    </xf>
    <xf numFmtId="0" fontId="24" fillId="19" borderId="0" xfId="0" applyFont="1" applyFill="1" applyAlignment="1">
      <alignment vertical="center" wrapText="1"/>
    </xf>
    <xf numFmtId="0" fontId="33" fillId="15" borderId="8" xfId="0" applyFont="1" applyFill="1" applyBorder="1" applyAlignment="1">
      <alignment horizontal="center" vertical="center" wrapText="1"/>
    </xf>
    <xf numFmtId="0" fontId="37" fillId="39" borderId="8" xfId="0" applyFont="1" applyFill="1" applyBorder="1" applyAlignment="1">
      <alignment horizontal="center" vertical="center" wrapText="1"/>
    </xf>
    <xf numFmtId="0" fontId="14" fillId="26" borderId="8" xfId="0" applyFont="1" applyFill="1" applyBorder="1" applyAlignment="1">
      <alignment horizontal="center" vertical="center" wrapText="1"/>
    </xf>
    <xf numFmtId="0" fontId="24" fillId="19" borderId="0" xfId="0" applyFont="1" applyFill="1" applyAlignment="1">
      <alignment vertical="center"/>
    </xf>
    <xf numFmtId="0" fontId="24" fillId="11" borderId="0" xfId="0" applyFont="1" applyFill="1" applyAlignment="1">
      <alignment vertical="center"/>
    </xf>
    <xf numFmtId="0" fontId="47" fillId="2" borderId="37" xfId="0" applyFont="1" applyFill="1" applyBorder="1" applyAlignment="1">
      <alignment horizontal="center" vertical="center" wrapText="1"/>
    </xf>
    <xf numFmtId="0" fontId="24" fillId="12" borderId="0" xfId="0" applyFont="1" applyFill="1" applyAlignment="1">
      <alignment horizontal="center" vertical="center"/>
    </xf>
    <xf numFmtId="0" fontId="24" fillId="11" borderId="0" xfId="0" applyFont="1" applyFill="1" applyAlignment="1">
      <alignment horizontal="center" vertical="center"/>
    </xf>
    <xf numFmtId="0" fontId="24" fillId="26" borderId="37" xfId="0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24" fillId="32" borderId="8" xfId="0" applyFont="1" applyFill="1" applyBorder="1" applyAlignment="1">
      <alignment horizontal="center" vertical="center" wrapText="1"/>
    </xf>
    <xf numFmtId="0" fontId="4" fillId="26" borderId="40" xfId="0" applyFont="1" applyFill="1" applyBorder="1" applyAlignment="1">
      <alignment horizontal="center" vertical="center" wrapText="1"/>
    </xf>
    <xf numFmtId="0" fontId="25" fillId="26" borderId="8" xfId="0" applyFont="1" applyFill="1" applyBorder="1" applyAlignment="1">
      <alignment horizontal="center" vertical="center" wrapText="1"/>
    </xf>
    <xf numFmtId="0" fontId="51" fillId="18" borderId="40" xfId="0" applyFont="1" applyFill="1" applyBorder="1" applyAlignment="1">
      <alignment horizontal="center" vertical="center" wrapText="1"/>
    </xf>
    <xf numFmtId="0" fontId="24" fillId="35" borderId="8" xfId="0" applyFont="1" applyFill="1" applyBorder="1" applyAlignment="1">
      <alignment horizontal="center" vertical="center" wrapText="1"/>
    </xf>
    <xf numFmtId="0" fontId="34" fillId="18" borderId="40" xfId="0" applyFont="1" applyFill="1" applyBorder="1" applyAlignment="1">
      <alignment horizontal="center" vertical="center" wrapText="1"/>
    </xf>
    <xf numFmtId="0" fontId="34" fillId="40" borderId="8" xfId="0" applyFont="1" applyFill="1" applyBorder="1" applyAlignment="1">
      <alignment horizontal="center" vertical="center" wrapText="1"/>
    </xf>
    <xf numFmtId="0" fontId="52" fillId="0" borderId="0" xfId="0" applyFont="1"/>
    <xf numFmtId="164" fontId="53" fillId="0" borderId="0" xfId="0" applyNumberFormat="1" applyFont="1" applyAlignment="1">
      <alignment horizontal="center" vertical="center"/>
    </xf>
    <xf numFmtId="0" fontId="24" fillId="2" borderId="37" xfId="0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top" wrapText="1"/>
    </xf>
    <xf numFmtId="0" fontId="20" fillId="0" borderId="44" xfId="0" applyFont="1" applyBorder="1" applyAlignment="1">
      <alignment horizontal="center" vertical="top" wrapText="1"/>
    </xf>
    <xf numFmtId="0" fontId="20" fillId="9" borderId="8" xfId="0" applyFont="1" applyFill="1" applyBorder="1" applyAlignment="1">
      <alignment horizontal="center" vertical="center" wrapText="1"/>
    </xf>
    <xf numFmtId="0" fontId="24" fillId="26" borderId="0" xfId="0" applyFont="1" applyFill="1" applyAlignment="1">
      <alignment horizontal="center" vertical="top" wrapText="1"/>
    </xf>
    <xf numFmtId="0" fontId="24" fillId="26" borderId="0" xfId="0" applyFont="1" applyFill="1" applyAlignment="1">
      <alignment wrapText="1"/>
    </xf>
    <xf numFmtId="0" fontId="24" fillId="26" borderId="8" xfId="0" applyFont="1" applyFill="1" applyBorder="1" applyAlignment="1">
      <alignment horizontal="center" vertical="center" wrapText="1"/>
    </xf>
    <xf numFmtId="0" fontId="50" fillId="38" borderId="0" xfId="0" applyFont="1" applyFill="1" applyAlignment="1">
      <alignment horizontal="center" vertical="center"/>
    </xf>
    <xf numFmtId="0" fontId="50" fillId="38" borderId="0" xfId="0" applyFont="1" applyFill="1" applyAlignment="1">
      <alignment vertical="center"/>
    </xf>
    <xf numFmtId="0" fontId="54" fillId="26" borderId="8" xfId="0" applyFont="1" applyFill="1" applyBorder="1" applyAlignment="1">
      <alignment horizontal="center" vertical="center" wrapText="1"/>
    </xf>
    <xf numFmtId="0" fontId="34" fillId="13" borderId="40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0" fillId="4" borderId="4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 wrapText="1"/>
    </xf>
    <xf numFmtId="0" fontId="35" fillId="4" borderId="37" xfId="0" applyFont="1" applyFill="1" applyBorder="1"/>
    <xf numFmtId="0" fontId="32" fillId="2" borderId="40" xfId="0" applyFont="1" applyFill="1" applyBorder="1" applyAlignment="1">
      <alignment horizontal="center" vertical="center" wrapText="1"/>
    </xf>
    <xf numFmtId="0" fontId="37" fillId="2" borderId="8" xfId="0" applyFont="1" applyFill="1" applyBorder="1" applyAlignment="1">
      <alignment horizontal="center" vertical="center" wrapText="1"/>
    </xf>
    <xf numFmtId="0" fontId="55" fillId="2" borderId="37" xfId="0" applyFont="1" applyFill="1" applyBorder="1" applyAlignment="1">
      <alignment horizontal="center" vertical="center"/>
    </xf>
    <xf numFmtId="0" fontId="55" fillId="4" borderId="37" xfId="0" applyFont="1" applyFill="1" applyBorder="1" applyAlignment="1">
      <alignment horizontal="center" vertical="center"/>
    </xf>
    <xf numFmtId="0" fontId="55" fillId="4" borderId="37" xfId="0" applyFont="1" applyFill="1" applyBorder="1"/>
    <xf numFmtId="0" fontId="55" fillId="2" borderId="8" xfId="0" applyFont="1" applyFill="1" applyBorder="1" applyAlignment="1">
      <alignment horizontal="center" vertical="center" wrapText="1"/>
    </xf>
    <xf numFmtId="0" fontId="55" fillId="2" borderId="37" xfId="0" applyFont="1" applyFill="1" applyBorder="1" applyAlignment="1">
      <alignment wrapText="1"/>
    </xf>
    <xf numFmtId="0" fontId="56" fillId="4" borderId="37" xfId="0" applyFont="1" applyFill="1" applyBorder="1" applyAlignment="1">
      <alignment wrapText="1"/>
    </xf>
    <xf numFmtId="0" fontId="55" fillId="4" borderId="37" xfId="0" applyFont="1" applyFill="1" applyBorder="1" applyAlignment="1">
      <alignment wrapText="1"/>
    </xf>
    <xf numFmtId="0" fontId="24" fillId="0" borderId="41" xfId="0" applyFont="1" applyBorder="1" applyAlignment="1">
      <alignment wrapText="1"/>
    </xf>
    <xf numFmtId="0" fontId="3" fillId="28" borderId="38" xfId="0" applyFont="1" applyFill="1" applyBorder="1" applyAlignment="1">
      <alignment horizontal="center" vertical="top" wrapText="1"/>
    </xf>
    <xf numFmtId="0" fontId="24" fillId="26" borderId="0" xfId="0" applyFont="1" applyFill="1" applyAlignment="1">
      <alignment horizontal="center" vertical="center"/>
    </xf>
    <xf numFmtId="0" fontId="44" fillId="26" borderId="8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/>
    </xf>
    <xf numFmtId="0" fontId="34" fillId="26" borderId="40" xfId="0" applyFont="1" applyFill="1" applyBorder="1" applyAlignment="1">
      <alignment horizontal="center" vertical="center" wrapText="1"/>
    </xf>
    <xf numFmtId="0" fontId="33" fillId="0" borderId="40" xfId="0" applyFont="1" applyBorder="1" applyAlignment="1">
      <alignment horizontal="center" vertical="center" wrapText="1"/>
    </xf>
    <xf numFmtId="0" fontId="32" fillId="26" borderId="8" xfId="0" applyFont="1" applyFill="1" applyBorder="1" applyAlignment="1">
      <alignment horizontal="center" vertical="center" wrapText="1"/>
    </xf>
    <xf numFmtId="0" fontId="24" fillId="26" borderId="0" xfId="0" applyFont="1" applyFill="1" applyAlignment="1">
      <alignment horizontal="center" vertical="center" wrapText="1"/>
    </xf>
    <xf numFmtId="164" fontId="3" fillId="0" borderId="14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9" borderId="10" xfId="0" applyFont="1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0" fontId="10" fillId="10" borderId="30" xfId="0" applyFont="1" applyFill="1" applyBorder="1" applyAlignment="1">
      <alignment horizontal="center" vertical="center" wrapText="1"/>
    </xf>
    <xf numFmtId="0" fontId="4" fillId="12" borderId="31" xfId="0" applyFont="1" applyFill="1" applyBorder="1" applyAlignment="1">
      <alignment horizontal="center" vertical="center" wrapText="1"/>
    </xf>
    <xf numFmtId="0" fontId="4" fillId="12" borderId="32" xfId="0" applyFont="1" applyFill="1" applyBorder="1" applyAlignment="1">
      <alignment horizontal="center" vertical="center" wrapText="1"/>
    </xf>
    <xf numFmtId="0" fontId="4" fillId="12" borderId="29" xfId="0" applyFont="1" applyFill="1" applyBorder="1" applyAlignment="1">
      <alignment horizontal="center" vertical="center" wrapText="1"/>
    </xf>
    <xf numFmtId="164" fontId="21" fillId="0" borderId="33" xfId="0" applyNumberFormat="1" applyFont="1" applyBorder="1" applyAlignment="1">
      <alignment horizontal="center" vertical="center"/>
    </xf>
    <xf numFmtId="164" fontId="20" fillId="0" borderId="34" xfId="0" applyNumberFormat="1" applyFont="1" applyBorder="1" applyAlignment="1">
      <alignment horizontal="center" vertical="center" wrapText="1"/>
    </xf>
    <xf numFmtId="164" fontId="20" fillId="0" borderId="35" xfId="0" applyNumberFormat="1" applyFont="1" applyBorder="1" applyAlignment="1">
      <alignment horizontal="center" vertical="center" wrapText="1"/>
    </xf>
    <xf numFmtId="164" fontId="20" fillId="0" borderId="36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8" fillId="0" borderId="0" xfId="0" applyFont="1" applyAlignment="1">
      <alignment horizontal="center"/>
    </xf>
    <xf numFmtId="0" fontId="40" fillId="30" borderId="8" xfId="0" applyFont="1" applyFill="1" applyBorder="1" applyAlignment="1">
      <alignment horizontal="center" wrapText="1"/>
    </xf>
  </cellXfs>
  <cellStyles count="4">
    <cellStyle name="Normal" xfId="0" builtinId="0"/>
    <cellStyle name="Normal 2" xfId="2" xr:uid="{00000000-0005-0000-0000-000000000000}"/>
    <cellStyle name="Normal 3" xfId="3" xr:uid="{00000000-0005-0000-0000-000001000000}"/>
    <cellStyle name="Undefiniert" xfId="1" xr:uid="{00000000-0005-0000-0000-00000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76E"/>
      <color rgb="FFCCC0D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0</xdr:row>
      <xdr:rowOff>38100</xdr:rowOff>
    </xdr:from>
    <xdr:to>
      <xdr:col>7</xdr:col>
      <xdr:colOff>819150</xdr:colOff>
      <xdr:row>0</xdr:row>
      <xdr:rowOff>428625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43475" y="38100"/>
          <a:ext cx="428625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0</xdr:row>
      <xdr:rowOff>38100</xdr:rowOff>
    </xdr:from>
    <xdr:to>
      <xdr:col>7</xdr:col>
      <xdr:colOff>819150</xdr:colOff>
      <xdr:row>0</xdr:row>
      <xdr:rowOff>428625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E29FC2-718D-4802-A3FF-1041D90B9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43475" y="38100"/>
          <a:ext cx="428625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tabColor rgb="FFFF0000"/>
  </sheetPr>
  <dimension ref="A1:N25"/>
  <sheetViews>
    <sheetView defaultGridColor="0" view="pageBreakPreview" colorId="22" zoomScaleNormal="100" zoomScaleSheetLayoutView="100" workbookViewId="0">
      <selection activeCell="E10" sqref="E10"/>
    </sheetView>
  </sheetViews>
  <sheetFormatPr defaultColWidth="13.33203125" defaultRowHeight="25.5"/>
  <cols>
    <col min="1" max="1" width="4.5546875" style="2" customWidth="1"/>
    <col min="2" max="2" width="5.44140625" style="3" bestFit="1" customWidth="1"/>
    <col min="3" max="3" width="1.5546875" style="3" customWidth="1"/>
    <col min="4" max="4" width="5.44140625" style="3" bestFit="1" customWidth="1"/>
    <col min="5" max="9" width="12" style="20" customWidth="1"/>
    <col min="10" max="10" width="17.109375" style="6" customWidth="1"/>
    <col min="11" max="13" width="15.6640625" customWidth="1"/>
  </cols>
  <sheetData>
    <row r="1" spans="1:14" ht="36" customHeight="1" thickBot="1">
      <c r="A1" s="68"/>
      <c r="B1" s="4"/>
      <c r="C1" s="4"/>
      <c r="D1" s="4"/>
      <c r="E1" s="9" t="s">
        <v>0</v>
      </c>
      <c r="F1" s="10"/>
      <c r="G1" s="19" t="s">
        <v>1</v>
      </c>
      <c r="H1" s="21"/>
      <c r="I1" s="11"/>
      <c r="J1" s="7"/>
      <c r="K1" s="5"/>
      <c r="L1" s="5"/>
    </row>
    <row r="2" spans="1:14" s="19" customFormat="1" ht="18" customHeight="1" thickBot="1">
      <c r="A2" s="69" t="s">
        <v>2</v>
      </c>
      <c r="B2" s="292" t="s">
        <v>3</v>
      </c>
      <c r="C2" s="293"/>
      <c r="D2" s="293"/>
      <c r="E2" s="37" t="s">
        <v>4</v>
      </c>
      <c r="F2" s="38" t="s">
        <v>5</v>
      </c>
      <c r="G2" s="38" t="s">
        <v>6</v>
      </c>
      <c r="H2" s="38" t="s">
        <v>7</v>
      </c>
      <c r="I2" s="39" t="s">
        <v>8</v>
      </c>
      <c r="J2" s="30" t="s">
        <v>9</v>
      </c>
      <c r="K2" s="5"/>
      <c r="L2" s="5"/>
    </row>
    <row r="3" spans="1:14" ht="36.75" customHeight="1" thickTop="1">
      <c r="A3" s="40">
        <v>1</v>
      </c>
      <c r="B3" s="8">
        <v>43866</v>
      </c>
      <c r="C3" s="70" t="s">
        <v>10</v>
      </c>
      <c r="D3" s="8">
        <f>B3+2</f>
        <v>43868</v>
      </c>
      <c r="E3" s="25" t="s">
        <v>11</v>
      </c>
      <c r="F3" s="25" t="s">
        <v>11</v>
      </c>
      <c r="G3" s="22"/>
      <c r="H3" s="22"/>
      <c r="I3" s="74"/>
      <c r="K3" s="294" t="s">
        <v>12</v>
      </c>
      <c r="L3" s="294"/>
      <c r="M3" s="294"/>
    </row>
    <row r="4" spans="1:14" ht="36.75" customHeight="1">
      <c r="A4" s="41">
        <f>A3+1</f>
        <v>2</v>
      </c>
      <c r="B4" s="8">
        <f>D3+3</f>
        <v>43871</v>
      </c>
      <c r="C4" s="70" t="s">
        <v>10</v>
      </c>
      <c r="D4" s="8">
        <f t="shared" ref="D4:D25" si="0">B4+4</f>
        <v>43875</v>
      </c>
      <c r="E4" s="23"/>
      <c r="F4" s="23"/>
      <c r="G4" s="23"/>
      <c r="H4" s="24"/>
      <c r="I4" s="42"/>
      <c r="K4" s="19" t="s">
        <v>13</v>
      </c>
      <c r="L4" s="19" t="s">
        <v>14</v>
      </c>
      <c r="M4" s="19" t="s">
        <v>15</v>
      </c>
    </row>
    <row r="5" spans="1:14" ht="36.75" customHeight="1">
      <c r="A5" s="41">
        <f t="shared" ref="A5:A24" si="1">A4+1</f>
        <v>3</v>
      </c>
      <c r="B5" s="8">
        <f t="shared" ref="B5:B24" si="2">D4+3</f>
        <v>43878</v>
      </c>
      <c r="C5" s="70" t="s">
        <v>10</v>
      </c>
      <c r="D5" s="8">
        <f t="shared" si="0"/>
        <v>43882</v>
      </c>
      <c r="E5" s="23"/>
      <c r="F5" s="23"/>
      <c r="G5" s="23"/>
      <c r="H5" s="23"/>
      <c r="I5" s="42"/>
      <c r="J5" s="6" t="s">
        <v>16</v>
      </c>
      <c r="K5" s="12" t="s">
        <v>17</v>
      </c>
      <c r="L5" s="20">
        <v>2</v>
      </c>
      <c r="M5" s="20">
        <v>2</v>
      </c>
    </row>
    <row r="6" spans="1:14" ht="36.75" customHeight="1">
      <c r="A6" s="41">
        <f t="shared" si="1"/>
        <v>4</v>
      </c>
      <c r="B6" s="8">
        <f t="shared" si="2"/>
        <v>43885</v>
      </c>
      <c r="C6" s="70" t="s">
        <v>10</v>
      </c>
      <c r="D6" s="8">
        <f t="shared" si="0"/>
        <v>43889</v>
      </c>
      <c r="E6" s="295" t="s">
        <v>18</v>
      </c>
      <c r="F6" s="296"/>
      <c r="G6" s="296"/>
      <c r="H6" s="296"/>
      <c r="I6" s="297"/>
      <c r="K6" s="13" t="s">
        <v>19</v>
      </c>
      <c r="L6" s="20">
        <v>2</v>
      </c>
      <c r="M6" s="20">
        <v>2</v>
      </c>
      <c r="N6" s="1"/>
    </row>
    <row r="7" spans="1:14" ht="36.75" customHeight="1">
      <c r="A7" s="41">
        <f t="shared" si="1"/>
        <v>5</v>
      </c>
      <c r="B7" s="8">
        <f t="shared" si="2"/>
        <v>43892</v>
      </c>
      <c r="C7" s="70" t="s">
        <v>10</v>
      </c>
      <c r="D7" s="8">
        <f t="shared" si="0"/>
        <v>43896</v>
      </c>
      <c r="E7" s="23"/>
      <c r="F7" s="23"/>
      <c r="G7" s="23"/>
      <c r="H7" s="24"/>
      <c r="I7" s="42"/>
      <c r="J7" s="6" t="s">
        <v>20</v>
      </c>
      <c r="K7" s="14" t="s">
        <v>21</v>
      </c>
      <c r="L7" s="20">
        <v>2</v>
      </c>
      <c r="M7" s="20">
        <v>2</v>
      </c>
    </row>
    <row r="8" spans="1:14" ht="36.75" customHeight="1">
      <c r="A8" s="41">
        <f t="shared" si="1"/>
        <v>6</v>
      </c>
      <c r="B8" s="8">
        <f t="shared" si="2"/>
        <v>43899</v>
      </c>
      <c r="C8" s="70" t="s">
        <v>10</v>
      </c>
      <c r="D8" s="8">
        <f t="shared" si="0"/>
        <v>43903</v>
      </c>
      <c r="E8" s="33"/>
      <c r="F8" s="33"/>
      <c r="G8" s="33"/>
      <c r="H8" s="34"/>
      <c r="I8" s="75"/>
      <c r="J8" s="6" t="s">
        <v>22</v>
      </c>
      <c r="K8" s="15" t="s">
        <v>23</v>
      </c>
      <c r="L8" s="20">
        <v>2</v>
      </c>
      <c r="M8" s="20">
        <v>2</v>
      </c>
    </row>
    <row r="9" spans="1:14" ht="36.75" customHeight="1">
      <c r="A9" s="41">
        <f t="shared" si="1"/>
        <v>7</v>
      </c>
      <c r="B9" s="8">
        <f t="shared" si="2"/>
        <v>43906</v>
      </c>
      <c r="C9" s="70" t="s">
        <v>10</v>
      </c>
      <c r="D9" s="8">
        <f t="shared" si="0"/>
        <v>43910</v>
      </c>
      <c r="E9" s="23"/>
      <c r="F9" s="24"/>
      <c r="G9" s="23"/>
      <c r="H9" s="66" t="s">
        <v>24</v>
      </c>
      <c r="I9" s="43"/>
      <c r="K9" s="16" t="s">
        <v>25</v>
      </c>
      <c r="L9" s="20">
        <v>2</v>
      </c>
      <c r="M9" s="20">
        <v>2</v>
      </c>
    </row>
    <row r="10" spans="1:14" ht="36.75" customHeight="1">
      <c r="A10" s="41">
        <f t="shared" si="1"/>
        <v>8</v>
      </c>
      <c r="B10" s="8">
        <f t="shared" si="2"/>
        <v>43913</v>
      </c>
      <c r="C10" s="70" t="s">
        <v>10</v>
      </c>
      <c r="D10" s="8">
        <f t="shared" si="0"/>
        <v>43917</v>
      </c>
      <c r="E10" s="23"/>
      <c r="F10" s="24"/>
      <c r="G10" s="23"/>
      <c r="H10" s="23"/>
      <c r="I10" s="43" t="s">
        <v>26</v>
      </c>
      <c r="K10" s="17" t="s">
        <v>27</v>
      </c>
      <c r="L10" s="20">
        <v>2</v>
      </c>
      <c r="M10" s="20">
        <v>2</v>
      </c>
    </row>
    <row r="11" spans="1:14" ht="36.75" customHeight="1">
      <c r="A11" s="41">
        <f t="shared" si="1"/>
        <v>9</v>
      </c>
      <c r="B11" s="8">
        <f t="shared" si="2"/>
        <v>43920</v>
      </c>
      <c r="C11" s="70" t="s">
        <v>10</v>
      </c>
      <c r="D11" s="8">
        <f t="shared" si="0"/>
        <v>43924</v>
      </c>
      <c r="E11" s="26"/>
      <c r="F11" s="26"/>
      <c r="G11" s="26"/>
      <c r="H11" s="31" t="s">
        <v>28</v>
      </c>
      <c r="I11" s="43"/>
      <c r="K11" s="18" t="s">
        <v>29</v>
      </c>
      <c r="L11" s="20">
        <v>2</v>
      </c>
      <c r="M11" s="20">
        <v>2</v>
      </c>
    </row>
    <row r="12" spans="1:14" ht="36.75" customHeight="1">
      <c r="A12" s="41">
        <f t="shared" si="1"/>
        <v>10</v>
      </c>
      <c r="B12" s="8">
        <f t="shared" si="2"/>
        <v>43927</v>
      </c>
      <c r="C12" s="70" t="s">
        <v>10</v>
      </c>
      <c r="D12" s="8">
        <f t="shared" si="0"/>
        <v>43931</v>
      </c>
      <c r="E12" s="28"/>
      <c r="F12" s="28"/>
      <c r="G12" s="28"/>
      <c r="H12" s="25" t="s">
        <v>11</v>
      </c>
      <c r="I12" s="44" t="s">
        <v>11</v>
      </c>
      <c r="K12" s="20" t="s">
        <v>30</v>
      </c>
      <c r="L12" s="20"/>
      <c r="M12" s="20">
        <v>1</v>
      </c>
    </row>
    <row r="13" spans="1:14" ht="36.75" customHeight="1">
      <c r="A13" s="41">
        <f t="shared" si="1"/>
        <v>11</v>
      </c>
      <c r="B13" s="8">
        <f t="shared" si="2"/>
        <v>43934</v>
      </c>
      <c r="C13" s="70" t="s">
        <v>10</v>
      </c>
      <c r="D13" s="8">
        <f t="shared" si="0"/>
        <v>43938</v>
      </c>
      <c r="E13" s="23"/>
      <c r="F13" s="23"/>
      <c r="G13" s="23"/>
      <c r="H13" s="35"/>
      <c r="I13" s="45"/>
      <c r="K13" s="20" t="s">
        <v>31</v>
      </c>
      <c r="L13" s="20"/>
      <c r="M13" s="20">
        <v>1</v>
      </c>
    </row>
    <row r="14" spans="1:14" ht="36.75" customHeight="1">
      <c r="A14" s="41">
        <f t="shared" si="1"/>
        <v>12</v>
      </c>
      <c r="B14" s="8">
        <f t="shared" si="2"/>
        <v>43941</v>
      </c>
      <c r="C14" s="70" t="s">
        <v>10</v>
      </c>
      <c r="D14" s="8">
        <f t="shared" si="0"/>
        <v>43945</v>
      </c>
      <c r="E14" s="35"/>
      <c r="F14" s="25" t="s">
        <v>11</v>
      </c>
      <c r="G14" s="23"/>
      <c r="H14" s="25" t="s">
        <v>11</v>
      </c>
      <c r="I14" s="43"/>
      <c r="K14" s="20" t="s">
        <v>32</v>
      </c>
      <c r="L14" s="20"/>
      <c r="M14" s="20">
        <v>1</v>
      </c>
    </row>
    <row r="15" spans="1:14" ht="36.75" customHeight="1">
      <c r="A15" s="41">
        <f t="shared" si="1"/>
        <v>13</v>
      </c>
      <c r="B15" s="8">
        <f t="shared" si="2"/>
        <v>43948</v>
      </c>
      <c r="C15" s="70" t="s">
        <v>10</v>
      </c>
      <c r="D15" s="8">
        <f t="shared" si="0"/>
        <v>43952</v>
      </c>
      <c r="E15" s="23"/>
      <c r="F15" s="23"/>
      <c r="G15" s="35"/>
      <c r="H15" s="23"/>
      <c r="I15" s="44" t="s">
        <v>11</v>
      </c>
      <c r="K15" s="20" t="s">
        <v>33</v>
      </c>
      <c r="L15" s="20"/>
      <c r="M15" s="20">
        <v>1</v>
      </c>
    </row>
    <row r="16" spans="1:14" ht="36.75" customHeight="1">
      <c r="A16" s="41">
        <f t="shared" si="1"/>
        <v>14</v>
      </c>
      <c r="B16" s="8">
        <f t="shared" si="2"/>
        <v>43955</v>
      </c>
      <c r="C16" s="70" t="s">
        <v>10</v>
      </c>
      <c r="D16" s="8">
        <f t="shared" si="0"/>
        <v>43959</v>
      </c>
      <c r="E16" s="23"/>
      <c r="F16" s="23"/>
      <c r="G16" s="31" t="s">
        <v>34</v>
      </c>
      <c r="H16" s="26"/>
      <c r="I16" s="46" t="s">
        <v>35</v>
      </c>
      <c r="J16" s="6" t="s">
        <v>36</v>
      </c>
      <c r="K16" s="20" t="s">
        <v>37</v>
      </c>
      <c r="L16" s="20"/>
      <c r="M16" s="20"/>
    </row>
    <row r="17" spans="1:13" ht="36.75" customHeight="1">
      <c r="A17" s="41">
        <f t="shared" si="1"/>
        <v>15</v>
      </c>
      <c r="B17" s="8">
        <f t="shared" si="2"/>
        <v>43962</v>
      </c>
      <c r="C17" s="71" t="s">
        <v>10</v>
      </c>
      <c r="D17" s="8">
        <f t="shared" si="0"/>
        <v>43966</v>
      </c>
      <c r="E17" s="23"/>
      <c r="F17" s="23"/>
      <c r="G17" s="26"/>
      <c r="H17" s="26"/>
      <c r="I17" s="43" t="s">
        <v>38</v>
      </c>
      <c r="J17" s="6" t="s">
        <v>39</v>
      </c>
      <c r="M17" s="20" t="s">
        <v>40</v>
      </c>
    </row>
    <row r="18" spans="1:13" ht="36.75" customHeight="1">
      <c r="A18" s="41">
        <f t="shared" si="1"/>
        <v>16</v>
      </c>
      <c r="B18" s="8">
        <f t="shared" si="2"/>
        <v>43969</v>
      </c>
      <c r="C18" s="71" t="s">
        <v>10</v>
      </c>
      <c r="D18" s="8">
        <f t="shared" si="0"/>
        <v>43973</v>
      </c>
      <c r="E18" s="26" t="s">
        <v>41</v>
      </c>
      <c r="F18" s="26" t="s">
        <v>41</v>
      </c>
      <c r="G18" s="26" t="s">
        <v>42</v>
      </c>
      <c r="H18" s="26" t="s">
        <v>42</v>
      </c>
      <c r="I18" s="43" t="s">
        <v>42</v>
      </c>
      <c r="K18" s="20" t="s">
        <v>43</v>
      </c>
    </row>
    <row r="19" spans="1:13" ht="36.75" customHeight="1">
      <c r="A19" s="41">
        <f t="shared" si="1"/>
        <v>17</v>
      </c>
      <c r="B19" s="8">
        <f t="shared" si="2"/>
        <v>43976</v>
      </c>
      <c r="C19" s="71" t="s">
        <v>10</v>
      </c>
      <c r="D19" s="8">
        <f t="shared" si="0"/>
        <v>43980</v>
      </c>
      <c r="E19" s="28" t="s">
        <v>44</v>
      </c>
      <c r="F19" s="28" t="s">
        <v>44</v>
      </c>
      <c r="G19" s="28" t="s">
        <v>44</v>
      </c>
      <c r="H19" s="28" t="s">
        <v>44</v>
      </c>
      <c r="I19" s="47" t="s">
        <v>44</v>
      </c>
    </row>
    <row r="20" spans="1:13" ht="36.75" customHeight="1">
      <c r="A20" s="41">
        <f t="shared" si="1"/>
        <v>18</v>
      </c>
      <c r="B20" s="8">
        <f t="shared" si="2"/>
        <v>43983</v>
      </c>
      <c r="C20" s="71" t="s">
        <v>10</v>
      </c>
      <c r="D20" s="8">
        <f t="shared" si="0"/>
        <v>43987</v>
      </c>
      <c r="E20" s="28"/>
      <c r="F20" s="31" t="s">
        <v>45</v>
      </c>
      <c r="G20" s="28"/>
      <c r="H20" s="28"/>
      <c r="I20" s="47"/>
      <c r="J20" s="6" t="s">
        <v>46</v>
      </c>
    </row>
    <row r="21" spans="1:13" ht="36.75" customHeight="1">
      <c r="A21" s="41">
        <f t="shared" si="1"/>
        <v>19</v>
      </c>
      <c r="B21" s="8">
        <f t="shared" si="2"/>
        <v>43990</v>
      </c>
      <c r="C21" s="71" t="s">
        <v>10</v>
      </c>
      <c r="D21" s="8">
        <f t="shared" si="0"/>
        <v>43994</v>
      </c>
      <c r="E21" s="23"/>
      <c r="F21" s="23"/>
      <c r="G21" s="27"/>
      <c r="H21" s="25" t="s">
        <v>11</v>
      </c>
      <c r="I21" s="44" t="s">
        <v>11</v>
      </c>
    </row>
    <row r="22" spans="1:13" ht="36.75" customHeight="1">
      <c r="A22" s="41">
        <f t="shared" si="1"/>
        <v>20</v>
      </c>
      <c r="B22" s="8">
        <f t="shared" si="2"/>
        <v>43997</v>
      </c>
      <c r="C22" s="71" t="s">
        <v>10</v>
      </c>
      <c r="D22" s="8">
        <f t="shared" si="0"/>
        <v>44001</v>
      </c>
      <c r="E22" s="28" t="s">
        <v>47</v>
      </c>
      <c r="F22" s="28" t="s">
        <v>47</v>
      </c>
      <c r="G22" s="28" t="s">
        <v>47</v>
      </c>
      <c r="H22" s="28" t="s">
        <v>47</v>
      </c>
      <c r="I22" s="47" t="s">
        <v>47</v>
      </c>
    </row>
    <row r="23" spans="1:13" ht="36.75" customHeight="1">
      <c r="A23" s="41">
        <f t="shared" si="1"/>
        <v>21</v>
      </c>
      <c r="B23" s="8">
        <f t="shared" si="2"/>
        <v>44004</v>
      </c>
      <c r="C23" s="71" t="s">
        <v>10</v>
      </c>
      <c r="D23" s="8">
        <f t="shared" si="0"/>
        <v>44008</v>
      </c>
      <c r="E23" s="23"/>
      <c r="F23" s="28"/>
      <c r="G23" s="27"/>
      <c r="H23" s="23"/>
      <c r="I23" s="46" t="s">
        <v>35</v>
      </c>
      <c r="J23" s="29"/>
    </row>
    <row r="24" spans="1:13" ht="36.75" customHeight="1">
      <c r="A24" s="41">
        <f t="shared" si="1"/>
        <v>22</v>
      </c>
      <c r="B24" s="8">
        <f t="shared" si="2"/>
        <v>44011</v>
      </c>
      <c r="C24" s="71" t="s">
        <v>10</v>
      </c>
      <c r="D24" s="8">
        <f t="shared" si="0"/>
        <v>44015</v>
      </c>
      <c r="E24" s="36"/>
      <c r="F24" s="32" t="s">
        <v>48</v>
      </c>
      <c r="G24" s="32"/>
      <c r="H24" s="32" t="s">
        <v>26</v>
      </c>
      <c r="I24" s="48" t="s">
        <v>49</v>
      </c>
      <c r="J24" s="29" t="s">
        <v>50</v>
      </c>
    </row>
    <row r="25" spans="1:13" ht="36.75" customHeight="1" thickBot="1">
      <c r="A25" s="49">
        <f>A24+1</f>
        <v>23</v>
      </c>
      <c r="B25" s="50">
        <f>D24+3</f>
        <v>44018</v>
      </c>
      <c r="C25" s="72" t="s">
        <v>10</v>
      </c>
      <c r="D25" s="50">
        <f t="shared" si="0"/>
        <v>44022</v>
      </c>
      <c r="E25" s="51"/>
      <c r="F25" s="52" t="s">
        <v>51</v>
      </c>
      <c r="G25" s="52" t="s">
        <v>52</v>
      </c>
      <c r="H25" s="52" t="s">
        <v>38</v>
      </c>
      <c r="I25" s="53" t="s">
        <v>38</v>
      </c>
    </row>
  </sheetData>
  <mergeCells count="3">
    <mergeCell ref="B2:D2"/>
    <mergeCell ref="K3:M3"/>
    <mergeCell ref="E6:I6"/>
  </mergeCells>
  <pageMargins left="0.62992125984251968" right="0.23622047244094491" top="0.27559055118110237" bottom="0.19685039370078741" header="0.27559055118110237" footer="0.19685039370078741"/>
  <pageSetup paperSize="9" scale="80" orientation="portrait" r:id="rId1"/>
  <headerFooter alignWithMargins="0">
    <oddFooter xml:space="preserve">&amp;R&amp;9&amp;D&amp;12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>
    <tabColor rgb="FFFF0000"/>
  </sheetPr>
  <dimension ref="A1:N25"/>
  <sheetViews>
    <sheetView defaultGridColor="0" view="pageBreakPreview" topLeftCell="A8" colorId="22" zoomScaleNormal="100" zoomScaleSheetLayoutView="100" workbookViewId="0">
      <selection activeCell="I14" sqref="I14"/>
    </sheetView>
  </sheetViews>
  <sheetFormatPr defaultColWidth="13.33203125" defaultRowHeight="25.5"/>
  <cols>
    <col min="1" max="1" width="4.5546875" style="2" customWidth="1"/>
    <col min="2" max="2" width="5.44140625" style="3" bestFit="1" customWidth="1"/>
    <col min="3" max="3" width="1.5546875" style="3" customWidth="1"/>
    <col min="4" max="4" width="5.44140625" style="3" bestFit="1" customWidth="1"/>
    <col min="5" max="9" width="12" style="20" customWidth="1"/>
    <col min="10" max="10" width="17.109375" style="6" customWidth="1"/>
    <col min="11" max="13" width="15.6640625" customWidth="1"/>
  </cols>
  <sheetData>
    <row r="1" spans="1:14" ht="36" customHeight="1" thickBot="1">
      <c r="A1" s="68"/>
      <c r="B1" s="4"/>
      <c r="C1" s="4"/>
      <c r="D1" s="4"/>
      <c r="E1" s="9" t="s">
        <v>0</v>
      </c>
      <c r="F1" s="10"/>
      <c r="G1" s="19" t="s">
        <v>53</v>
      </c>
      <c r="H1" s="21"/>
      <c r="I1" s="11"/>
      <c r="J1" s="7"/>
      <c r="K1" s="5"/>
      <c r="L1" s="5"/>
    </row>
    <row r="2" spans="1:14" s="19" customFormat="1" ht="18" customHeight="1" thickBot="1">
      <c r="A2" s="69" t="s">
        <v>2</v>
      </c>
      <c r="B2" s="292" t="s">
        <v>3</v>
      </c>
      <c r="C2" s="293"/>
      <c r="D2" s="293"/>
      <c r="E2" s="37" t="s">
        <v>4</v>
      </c>
      <c r="F2" s="38" t="s">
        <v>5</v>
      </c>
      <c r="G2" s="38" t="s">
        <v>6</v>
      </c>
      <c r="H2" s="38" t="s">
        <v>7</v>
      </c>
      <c r="I2" s="39" t="s">
        <v>8</v>
      </c>
      <c r="J2" s="30" t="s">
        <v>9</v>
      </c>
      <c r="K2" s="5"/>
      <c r="L2" s="5"/>
    </row>
    <row r="3" spans="1:14" ht="36.75" customHeight="1" thickTop="1">
      <c r="A3" s="40">
        <v>1</v>
      </c>
      <c r="B3" s="8">
        <v>44046</v>
      </c>
      <c r="C3" s="70" t="s">
        <v>10</v>
      </c>
      <c r="D3" s="8">
        <f>B3+4</f>
        <v>44050</v>
      </c>
      <c r="E3" s="35"/>
      <c r="F3" s="35"/>
      <c r="G3" s="22"/>
      <c r="H3" s="22"/>
      <c r="I3" s="74"/>
      <c r="K3" s="294" t="s">
        <v>12</v>
      </c>
      <c r="L3" s="294"/>
      <c r="M3" s="294"/>
    </row>
    <row r="4" spans="1:14" ht="36.75" customHeight="1">
      <c r="A4" s="41">
        <f>A3+1</f>
        <v>2</v>
      </c>
      <c r="B4" s="8">
        <f>D3+3</f>
        <v>44053</v>
      </c>
      <c r="C4" s="70" t="s">
        <v>10</v>
      </c>
      <c r="D4" s="8">
        <f t="shared" ref="D4:D23" si="0">B4+4</f>
        <v>44057</v>
      </c>
      <c r="E4" s="23"/>
      <c r="F4" s="23"/>
      <c r="G4" s="23"/>
      <c r="H4" s="24"/>
      <c r="I4" s="42"/>
      <c r="K4" s="19" t="s">
        <v>13</v>
      </c>
      <c r="L4" s="19" t="s">
        <v>14</v>
      </c>
      <c r="M4" s="19" t="s">
        <v>15</v>
      </c>
    </row>
    <row r="5" spans="1:14" ht="36.75" customHeight="1">
      <c r="A5" s="41">
        <f t="shared" ref="A5:A23" si="1">A4+1</f>
        <v>3</v>
      </c>
      <c r="B5" s="8">
        <f t="shared" ref="B5:B23" si="2">D4+3</f>
        <v>44060</v>
      </c>
      <c r="C5" s="70" t="s">
        <v>10</v>
      </c>
      <c r="D5" s="8">
        <f t="shared" si="0"/>
        <v>44064</v>
      </c>
      <c r="E5" s="23"/>
      <c r="F5" s="23"/>
      <c r="G5" s="54" t="s">
        <v>54</v>
      </c>
      <c r="H5" s="54" t="s">
        <v>55</v>
      </c>
      <c r="I5" s="55" t="s">
        <v>56</v>
      </c>
      <c r="K5" s="12" t="s">
        <v>17</v>
      </c>
      <c r="L5" s="20">
        <v>2</v>
      </c>
      <c r="M5" s="20">
        <v>2</v>
      </c>
    </row>
    <row r="6" spans="1:14" ht="36.75" customHeight="1">
      <c r="A6" s="41">
        <f t="shared" si="1"/>
        <v>4</v>
      </c>
      <c r="B6" s="8">
        <f t="shared" si="2"/>
        <v>44067</v>
      </c>
      <c r="C6" s="70" t="s">
        <v>10</v>
      </c>
      <c r="D6" s="8">
        <f t="shared" si="0"/>
        <v>44071</v>
      </c>
      <c r="E6" s="55" t="s">
        <v>57</v>
      </c>
      <c r="F6" s="55" t="s">
        <v>57</v>
      </c>
      <c r="G6" s="54" t="s">
        <v>58</v>
      </c>
      <c r="H6" s="24"/>
      <c r="I6" s="42"/>
      <c r="K6" s="13" t="s">
        <v>19</v>
      </c>
      <c r="L6" s="20">
        <v>2</v>
      </c>
      <c r="M6" s="20">
        <v>2</v>
      </c>
      <c r="N6" s="1"/>
    </row>
    <row r="7" spans="1:14" ht="36.75" customHeight="1">
      <c r="A7" s="41">
        <f t="shared" si="1"/>
        <v>5</v>
      </c>
      <c r="B7" s="8">
        <f t="shared" si="2"/>
        <v>44074</v>
      </c>
      <c r="C7" s="70" t="s">
        <v>10</v>
      </c>
      <c r="D7" s="8">
        <f t="shared" si="0"/>
        <v>44078</v>
      </c>
      <c r="E7" s="23"/>
      <c r="F7" s="31" t="s">
        <v>28</v>
      </c>
      <c r="G7" s="23"/>
      <c r="H7" s="24"/>
      <c r="I7" s="42"/>
      <c r="K7" s="14" t="s">
        <v>21</v>
      </c>
      <c r="L7" s="20">
        <v>2</v>
      </c>
      <c r="M7" s="20">
        <v>2</v>
      </c>
    </row>
    <row r="8" spans="1:14" ht="36.75" customHeight="1">
      <c r="A8" s="41">
        <f t="shared" si="1"/>
        <v>6</v>
      </c>
      <c r="B8" s="8">
        <f t="shared" si="2"/>
        <v>44081</v>
      </c>
      <c r="C8" s="70" t="s">
        <v>10</v>
      </c>
      <c r="D8" s="8">
        <f t="shared" si="0"/>
        <v>44085</v>
      </c>
      <c r="E8" s="25" t="s">
        <v>11</v>
      </c>
      <c r="F8" s="33"/>
      <c r="G8" s="56" t="s">
        <v>59</v>
      </c>
      <c r="H8" s="56" t="s">
        <v>60</v>
      </c>
      <c r="I8" s="57" t="s">
        <v>61</v>
      </c>
      <c r="J8" s="6" t="s">
        <v>62</v>
      </c>
      <c r="K8" s="15" t="s">
        <v>23</v>
      </c>
      <c r="L8" s="20">
        <v>2</v>
      </c>
      <c r="M8" s="20">
        <v>2</v>
      </c>
    </row>
    <row r="9" spans="1:14" ht="36.75" customHeight="1">
      <c r="A9" s="41">
        <f t="shared" si="1"/>
        <v>7</v>
      </c>
      <c r="B9" s="8">
        <f t="shared" si="2"/>
        <v>44088</v>
      </c>
      <c r="C9" s="70" t="s">
        <v>10</v>
      </c>
      <c r="D9" s="8">
        <f t="shared" si="0"/>
        <v>44092</v>
      </c>
      <c r="E9" s="54" t="s">
        <v>63</v>
      </c>
      <c r="F9" s="54" t="s">
        <v>63</v>
      </c>
      <c r="G9" s="23"/>
      <c r="H9" s="23"/>
      <c r="I9" s="43"/>
      <c r="K9" s="16" t="s">
        <v>25</v>
      </c>
      <c r="L9" s="20">
        <v>2</v>
      </c>
      <c r="M9" s="20">
        <v>2</v>
      </c>
    </row>
    <row r="10" spans="1:14" ht="36.75" customHeight="1">
      <c r="A10" s="41">
        <f t="shared" si="1"/>
        <v>8</v>
      </c>
      <c r="B10" s="8">
        <f t="shared" si="2"/>
        <v>44095</v>
      </c>
      <c r="C10" s="70" t="s">
        <v>10</v>
      </c>
      <c r="D10" s="8">
        <f t="shared" si="0"/>
        <v>44099</v>
      </c>
      <c r="E10" s="54" t="s">
        <v>64</v>
      </c>
      <c r="F10" s="24"/>
      <c r="G10" s="23"/>
      <c r="H10" s="23"/>
      <c r="I10" s="43"/>
      <c r="J10" s="6" t="s">
        <v>36</v>
      </c>
      <c r="K10" s="17" t="s">
        <v>27</v>
      </c>
      <c r="L10" s="20">
        <v>2</v>
      </c>
      <c r="M10" s="20">
        <v>2</v>
      </c>
    </row>
    <row r="11" spans="1:14" ht="36.75" customHeight="1">
      <c r="A11" s="41">
        <f t="shared" si="1"/>
        <v>9</v>
      </c>
      <c r="B11" s="8">
        <f t="shared" si="2"/>
        <v>44102</v>
      </c>
      <c r="C11" s="70" t="s">
        <v>10</v>
      </c>
      <c r="D11" s="8">
        <f t="shared" si="0"/>
        <v>44106</v>
      </c>
      <c r="E11" s="26"/>
      <c r="F11" s="26"/>
      <c r="G11" s="26"/>
      <c r="H11" s="26"/>
      <c r="I11" s="46" t="s">
        <v>35</v>
      </c>
      <c r="K11" s="18" t="s">
        <v>29</v>
      </c>
      <c r="L11" s="20">
        <v>2</v>
      </c>
      <c r="M11" s="20">
        <v>2</v>
      </c>
    </row>
    <row r="12" spans="1:14" ht="36.75" customHeight="1">
      <c r="A12" s="41">
        <f t="shared" si="1"/>
        <v>10</v>
      </c>
      <c r="B12" s="8">
        <f t="shared" si="2"/>
        <v>44109</v>
      </c>
      <c r="C12" s="70" t="s">
        <v>10</v>
      </c>
      <c r="D12" s="8">
        <f t="shared" si="0"/>
        <v>44113</v>
      </c>
      <c r="E12" s="28"/>
      <c r="F12" s="28" t="s">
        <v>65</v>
      </c>
      <c r="G12" s="67" t="s">
        <v>66</v>
      </c>
      <c r="H12" s="28" t="s">
        <v>65</v>
      </c>
      <c r="I12" s="45"/>
      <c r="K12" s="20" t="s">
        <v>30</v>
      </c>
      <c r="L12" s="20"/>
      <c r="M12" s="20">
        <v>1</v>
      </c>
    </row>
    <row r="13" spans="1:14" ht="36.75" customHeight="1">
      <c r="A13" s="41">
        <f t="shared" si="1"/>
        <v>11</v>
      </c>
      <c r="B13" s="8">
        <f t="shared" si="2"/>
        <v>44116</v>
      </c>
      <c r="C13" s="70" t="s">
        <v>10</v>
      </c>
      <c r="D13" s="8">
        <f t="shared" si="0"/>
        <v>44120</v>
      </c>
      <c r="E13" s="298" t="s">
        <v>67</v>
      </c>
      <c r="F13" s="299"/>
      <c r="G13" s="299"/>
      <c r="H13" s="299"/>
      <c r="I13" s="300"/>
      <c r="K13" s="20" t="s">
        <v>31</v>
      </c>
      <c r="L13" s="20"/>
      <c r="M13" s="20">
        <v>1</v>
      </c>
    </row>
    <row r="14" spans="1:14" ht="36.75" customHeight="1">
      <c r="A14" s="41">
        <f t="shared" si="1"/>
        <v>12</v>
      </c>
      <c r="B14" s="8">
        <f t="shared" si="2"/>
        <v>44123</v>
      </c>
      <c r="C14" s="70" t="s">
        <v>10</v>
      </c>
      <c r="D14" s="8">
        <f t="shared" si="0"/>
        <v>44127</v>
      </c>
      <c r="E14" s="35"/>
      <c r="F14" s="35"/>
      <c r="G14" s="23"/>
      <c r="H14" s="35"/>
      <c r="I14" s="43"/>
      <c r="J14" s="6" t="s">
        <v>68</v>
      </c>
      <c r="K14" s="20" t="s">
        <v>32</v>
      </c>
      <c r="L14" s="20"/>
      <c r="M14" s="20">
        <v>1</v>
      </c>
    </row>
    <row r="15" spans="1:14" ht="36.75" customHeight="1">
      <c r="A15" s="41">
        <f t="shared" si="1"/>
        <v>13</v>
      </c>
      <c r="B15" s="8">
        <f t="shared" si="2"/>
        <v>44130</v>
      </c>
      <c r="C15" s="70" t="s">
        <v>10</v>
      </c>
      <c r="D15" s="8">
        <f t="shared" si="0"/>
        <v>44134</v>
      </c>
      <c r="E15" s="23"/>
      <c r="F15" s="23"/>
      <c r="G15" s="35"/>
      <c r="H15" s="54" t="s">
        <v>69</v>
      </c>
      <c r="I15" s="59" t="s">
        <v>69</v>
      </c>
      <c r="J15" s="6" t="s">
        <v>70</v>
      </c>
      <c r="K15" s="20" t="s">
        <v>33</v>
      </c>
      <c r="L15" s="20"/>
      <c r="M15" s="20">
        <v>1</v>
      </c>
    </row>
    <row r="16" spans="1:14" ht="36.75" customHeight="1">
      <c r="A16" s="41">
        <f t="shared" si="1"/>
        <v>14</v>
      </c>
      <c r="B16" s="8">
        <f t="shared" si="2"/>
        <v>44137</v>
      </c>
      <c r="C16" s="70" t="s">
        <v>10</v>
      </c>
      <c r="D16" s="8">
        <f t="shared" si="0"/>
        <v>44141</v>
      </c>
      <c r="E16" s="25" t="s">
        <v>11</v>
      </c>
      <c r="F16" s="23"/>
      <c r="G16" s="26"/>
      <c r="H16" s="26"/>
      <c r="I16" s="58"/>
      <c r="J16" s="6" t="s">
        <v>70</v>
      </c>
      <c r="K16" s="20" t="s">
        <v>37</v>
      </c>
      <c r="L16" s="20"/>
      <c r="M16" s="20"/>
    </row>
    <row r="17" spans="1:13" ht="36.75" customHeight="1">
      <c r="A17" s="41">
        <f t="shared" si="1"/>
        <v>15</v>
      </c>
      <c r="B17" s="8">
        <f t="shared" si="2"/>
        <v>44144</v>
      </c>
      <c r="C17" s="71" t="s">
        <v>10</v>
      </c>
      <c r="D17" s="8">
        <f t="shared" si="0"/>
        <v>44148</v>
      </c>
      <c r="E17" s="23"/>
      <c r="F17" s="26"/>
      <c r="G17" s="31" t="s">
        <v>45</v>
      </c>
      <c r="H17" s="26"/>
      <c r="I17" s="43"/>
      <c r="M17" s="20" t="s">
        <v>40</v>
      </c>
    </row>
    <row r="18" spans="1:13" ht="36.75" customHeight="1">
      <c r="A18" s="41">
        <f t="shared" si="1"/>
        <v>16</v>
      </c>
      <c r="B18" s="8">
        <f t="shared" si="2"/>
        <v>44151</v>
      </c>
      <c r="C18" s="71" t="s">
        <v>10</v>
      </c>
      <c r="D18" s="8">
        <f t="shared" si="0"/>
        <v>44155</v>
      </c>
      <c r="E18" s="26"/>
      <c r="F18" s="26"/>
      <c r="G18" s="26"/>
      <c r="H18" s="46" t="s">
        <v>71</v>
      </c>
      <c r="I18" s="44" t="s">
        <v>11</v>
      </c>
      <c r="K18" s="20" t="s">
        <v>43</v>
      </c>
    </row>
    <row r="19" spans="1:13" ht="36.75" customHeight="1">
      <c r="A19" s="41">
        <f t="shared" si="1"/>
        <v>17</v>
      </c>
      <c r="B19" s="8">
        <f t="shared" si="2"/>
        <v>44158</v>
      </c>
      <c r="C19" s="71" t="s">
        <v>10</v>
      </c>
      <c r="D19" s="8">
        <f t="shared" si="0"/>
        <v>44162</v>
      </c>
      <c r="E19" s="28"/>
      <c r="F19" s="28"/>
      <c r="G19" s="28"/>
      <c r="H19" s="28"/>
      <c r="I19" s="46" t="s">
        <v>35</v>
      </c>
    </row>
    <row r="20" spans="1:13" ht="36.75" customHeight="1">
      <c r="A20" s="41">
        <f t="shared" si="1"/>
        <v>18</v>
      </c>
      <c r="B20" s="8">
        <f t="shared" si="2"/>
        <v>44165</v>
      </c>
      <c r="C20" s="71" t="s">
        <v>10</v>
      </c>
      <c r="D20" s="8">
        <f t="shared" si="0"/>
        <v>44169</v>
      </c>
      <c r="E20" s="28"/>
      <c r="F20" s="26" t="s">
        <v>72</v>
      </c>
      <c r="G20" s="28"/>
      <c r="H20" s="28"/>
      <c r="I20" s="47"/>
    </row>
    <row r="21" spans="1:13" ht="36.75" customHeight="1">
      <c r="A21" s="41">
        <f t="shared" si="1"/>
        <v>19</v>
      </c>
      <c r="B21" s="8">
        <f t="shared" si="2"/>
        <v>44172</v>
      </c>
      <c r="C21" s="71" t="s">
        <v>10</v>
      </c>
      <c r="D21" s="8">
        <f t="shared" si="0"/>
        <v>44176</v>
      </c>
      <c r="E21" s="23"/>
      <c r="F21" s="26" t="s">
        <v>72</v>
      </c>
      <c r="G21" s="60" t="s">
        <v>73</v>
      </c>
      <c r="H21" s="35"/>
      <c r="I21" s="45"/>
    </row>
    <row r="22" spans="1:13" ht="36.75" customHeight="1">
      <c r="A22" s="41">
        <f t="shared" si="1"/>
        <v>20</v>
      </c>
      <c r="B22" s="8">
        <f t="shared" si="2"/>
        <v>44179</v>
      </c>
      <c r="C22" s="71" t="s">
        <v>10</v>
      </c>
      <c r="D22" s="8">
        <f t="shared" si="0"/>
        <v>44183</v>
      </c>
      <c r="E22" s="28"/>
      <c r="F22" s="28"/>
      <c r="G22" s="28"/>
      <c r="H22" s="26" t="s">
        <v>74</v>
      </c>
      <c r="I22" s="58" t="s">
        <v>75</v>
      </c>
    </row>
    <row r="23" spans="1:13" ht="36.75" customHeight="1" thickBot="1">
      <c r="A23" s="49">
        <f t="shared" si="1"/>
        <v>21</v>
      </c>
      <c r="B23" s="50">
        <f t="shared" si="2"/>
        <v>44186</v>
      </c>
      <c r="C23" s="72" t="s">
        <v>10</v>
      </c>
      <c r="D23" s="50">
        <f t="shared" si="0"/>
        <v>44190</v>
      </c>
      <c r="E23" s="301" t="s">
        <v>76</v>
      </c>
      <c r="F23" s="302"/>
      <c r="G23" s="302"/>
      <c r="H23" s="302"/>
      <c r="I23" s="303"/>
      <c r="J23" s="29"/>
    </row>
    <row r="24" spans="1:13" ht="36.75" customHeight="1">
      <c r="A24" s="61"/>
      <c r="B24" s="62"/>
      <c r="C24" s="76"/>
      <c r="D24" s="62"/>
      <c r="E24" s="63"/>
      <c r="F24" s="64"/>
      <c r="G24" s="64"/>
      <c r="H24" s="64"/>
      <c r="I24" s="65"/>
      <c r="J24" s="29"/>
    </row>
    <row r="25" spans="1:13" ht="36.75" customHeight="1">
      <c r="A25" s="61"/>
      <c r="B25" s="62"/>
      <c r="C25" s="76"/>
      <c r="D25" s="62"/>
      <c r="E25" s="63"/>
      <c r="F25" s="64"/>
      <c r="G25" s="64"/>
      <c r="H25" s="64"/>
      <c r="I25" s="65"/>
    </row>
  </sheetData>
  <mergeCells count="4">
    <mergeCell ref="B2:D2"/>
    <mergeCell ref="K3:M3"/>
    <mergeCell ref="E13:I13"/>
    <mergeCell ref="E23:I23"/>
  </mergeCells>
  <pageMargins left="0.62992125984251968" right="0.23622047244094491" top="0.27559055118110237" bottom="0.19685039370078741" header="0.27559055118110237" footer="0.19685039370078741"/>
  <pageSetup paperSize="9" scale="80" orientation="portrait" r:id="rId1"/>
  <headerFooter alignWithMargins="0">
    <oddFooter xml:space="preserve">&amp;R&amp;9&amp;D&amp;12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2B69-8A69-4AAD-AE8A-C8C3AA9CADDE}">
  <sheetPr>
    <pageSetUpPr fitToPage="1"/>
  </sheetPr>
  <dimension ref="A1:M23"/>
  <sheetViews>
    <sheetView tabSelected="1" topLeftCell="A14" workbookViewId="0">
      <selection activeCell="F21" sqref="F21"/>
    </sheetView>
  </sheetViews>
  <sheetFormatPr defaultRowHeight="15" customHeight="1"/>
  <cols>
    <col min="1" max="1" width="1.33203125" customWidth="1"/>
    <col min="2" max="2" width="4" style="103" customWidth="1"/>
    <col min="3" max="3" width="11.5546875" customWidth="1"/>
    <col min="4" max="4" width="2.88671875" customWidth="1"/>
    <col min="5" max="5" width="11.33203125" customWidth="1"/>
    <col min="6" max="6" width="9.77734375" style="108" customWidth="1"/>
    <col min="7" max="7" width="11.6640625" style="108" customWidth="1"/>
    <col min="8" max="8" width="11.44140625" style="108" customWidth="1"/>
    <col min="9" max="9" width="12" style="108" customWidth="1"/>
    <col min="10" max="10" width="10.44140625" style="108" customWidth="1"/>
    <col min="11" max="11" width="9.33203125" style="108" customWidth="1"/>
    <col min="12" max="12" width="11.109375" customWidth="1"/>
  </cols>
  <sheetData>
    <row r="1" spans="1:13" ht="18">
      <c r="B1" s="99"/>
      <c r="C1" s="77"/>
      <c r="D1" s="77"/>
      <c r="E1" s="304" t="s">
        <v>77</v>
      </c>
      <c r="F1" s="304"/>
      <c r="G1" s="304"/>
    </row>
    <row r="2" spans="1:13" s="114" customFormat="1" ht="18" customHeight="1">
      <c r="A2" s="19"/>
      <c r="B2" s="104" t="s">
        <v>2</v>
      </c>
      <c r="C2" s="305" t="s">
        <v>3</v>
      </c>
      <c r="D2" s="306"/>
      <c r="E2" s="307"/>
      <c r="F2" s="78" t="s">
        <v>4</v>
      </c>
      <c r="G2" s="79" t="s">
        <v>5</v>
      </c>
      <c r="H2" s="79" t="s">
        <v>6</v>
      </c>
      <c r="I2" s="73" t="s">
        <v>7</v>
      </c>
      <c r="J2" s="80" t="s">
        <v>8</v>
      </c>
      <c r="K2" s="123" t="s">
        <v>78</v>
      </c>
    </row>
    <row r="3" spans="1:13" s="114" customFormat="1" ht="18">
      <c r="B3" s="100">
        <v>31</v>
      </c>
      <c r="C3" s="81">
        <v>45866</v>
      </c>
      <c r="D3" s="82" t="s">
        <v>10</v>
      </c>
      <c r="E3" s="84">
        <f>C3+4</f>
        <v>45870</v>
      </c>
      <c r="F3" s="185"/>
      <c r="G3" s="185"/>
      <c r="H3" s="186"/>
      <c r="I3" s="186"/>
      <c r="J3" s="186"/>
      <c r="K3" s="186"/>
    </row>
    <row r="4" spans="1:13" s="114" customFormat="1" ht="18">
      <c r="B4" s="101">
        <f>B3+1</f>
        <v>32</v>
      </c>
      <c r="C4" s="81">
        <f>E3+3</f>
        <v>45873</v>
      </c>
      <c r="D4" s="82" t="s">
        <v>10</v>
      </c>
      <c r="E4" s="84">
        <f t="shared" ref="E4:E23" si="0">C4+4</f>
        <v>45877</v>
      </c>
      <c r="F4" s="186"/>
      <c r="G4" s="186"/>
      <c r="H4" s="186"/>
      <c r="I4" s="186"/>
      <c r="J4" s="187"/>
      <c r="K4" s="186"/>
    </row>
    <row r="5" spans="1:13" s="114" customFormat="1" ht="30">
      <c r="B5" s="101">
        <f t="shared" ref="B5:B23" si="1">B4+1</f>
        <v>33</v>
      </c>
      <c r="C5" s="81">
        <f t="shared" ref="C5:C23" si="2">E4+3</f>
        <v>45880</v>
      </c>
      <c r="D5" s="82" t="s">
        <v>10</v>
      </c>
      <c r="E5" s="84">
        <f t="shared" si="0"/>
        <v>45884</v>
      </c>
      <c r="F5" s="186"/>
      <c r="G5" s="186"/>
      <c r="H5" s="186"/>
      <c r="I5" s="188" t="s">
        <v>79</v>
      </c>
      <c r="J5" s="186"/>
      <c r="K5" s="186"/>
    </row>
    <row r="6" spans="1:13" s="114" customFormat="1" ht="18">
      <c r="B6" s="101">
        <f t="shared" si="1"/>
        <v>34</v>
      </c>
      <c r="C6" s="81">
        <f>E5+3</f>
        <v>45887</v>
      </c>
      <c r="D6" s="82" t="s">
        <v>10</v>
      </c>
      <c r="E6" s="84">
        <f t="shared" si="0"/>
        <v>45891</v>
      </c>
      <c r="F6" s="186"/>
      <c r="G6" s="186"/>
      <c r="H6" s="186"/>
      <c r="I6" s="189" t="s">
        <v>80</v>
      </c>
      <c r="J6" s="186"/>
      <c r="K6" s="186"/>
    </row>
    <row r="7" spans="1:13" s="114" customFormat="1" ht="30">
      <c r="B7" s="101">
        <f t="shared" si="1"/>
        <v>35</v>
      </c>
      <c r="C7" s="81">
        <f>E6+3</f>
        <v>45894</v>
      </c>
      <c r="D7" s="82" t="s">
        <v>10</v>
      </c>
      <c r="E7" s="84">
        <f t="shared" si="0"/>
        <v>45898</v>
      </c>
      <c r="F7" s="259"/>
      <c r="G7" s="219" t="s">
        <v>81</v>
      </c>
      <c r="H7" s="124"/>
      <c r="I7" s="124"/>
      <c r="J7" s="220" t="s">
        <v>82</v>
      </c>
      <c r="K7" s="118"/>
    </row>
    <row r="8" spans="1:13" s="114" customFormat="1" ht="39.75" customHeight="1">
      <c r="B8" s="101">
        <f t="shared" si="1"/>
        <v>36</v>
      </c>
      <c r="C8" s="81">
        <f t="shared" si="2"/>
        <v>45901</v>
      </c>
      <c r="D8" s="82" t="s">
        <v>10</v>
      </c>
      <c r="E8" s="84">
        <f>C8+4</f>
        <v>45905</v>
      </c>
      <c r="F8" s="258" t="s">
        <v>83</v>
      </c>
      <c r="G8" s="258" t="s">
        <v>83</v>
      </c>
      <c r="H8" s="222" t="s">
        <v>84</v>
      </c>
      <c r="I8" s="118"/>
      <c r="J8" s="223" t="s">
        <v>85</v>
      </c>
      <c r="K8" s="118"/>
    </row>
    <row r="9" spans="1:13" s="114" customFormat="1" ht="38.25" customHeight="1">
      <c r="B9" s="101">
        <f t="shared" si="1"/>
        <v>37</v>
      </c>
      <c r="C9" s="81">
        <f>E8+3</f>
        <v>45908</v>
      </c>
      <c r="D9" s="82" t="s">
        <v>10</v>
      </c>
      <c r="E9" s="84">
        <f t="shared" si="0"/>
        <v>45912</v>
      </c>
      <c r="F9" s="260"/>
      <c r="G9" s="221" t="s">
        <v>86</v>
      </c>
      <c r="H9" s="218" t="s">
        <v>87</v>
      </c>
      <c r="I9" s="218" t="s">
        <v>88</v>
      </c>
      <c r="J9" s="261"/>
      <c r="K9" s="148" t="s">
        <v>89</v>
      </c>
      <c r="M9" s="115"/>
    </row>
    <row r="10" spans="1:13" s="114" customFormat="1" ht="34.5">
      <c r="B10" s="101">
        <f t="shared" si="1"/>
        <v>38</v>
      </c>
      <c r="C10" s="81">
        <f t="shared" si="2"/>
        <v>45915</v>
      </c>
      <c r="D10" s="82" t="s">
        <v>10</v>
      </c>
      <c r="E10" s="84">
        <f t="shared" si="0"/>
        <v>45919</v>
      </c>
      <c r="F10" s="150"/>
      <c r="G10" s="197" t="s">
        <v>90</v>
      </c>
      <c r="H10" s="198"/>
      <c r="I10" s="199"/>
      <c r="J10" s="186"/>
      <c r="K10" s="200"/>
    </row>
    <row r="11" spans="1:13" s="114" customFormat="1" ht="36.75" customHeight="1">
      <c r="B11" s="101">
        <f t="shared" si="1"/>
        <v>39</v>
      </c>
      <c r="C11" s="81">
        <f t="shared" si="2"/>
        <v>45922</v>
      </c>
      <c r="D11" s="82" t="s">
        <v>10</v>
      </c>
      <c r="E11" s="84">
        <f>C11+4</f>
        <v>45926</v>
      </c>
      <c r="F11" s="119" t="s">
        <v>91</v>
      </c>
      <c r="G11" s="199"/>
      <c r="H11" s="199"/>
      <c r="I11" s="199"/>
      <c r="J11" s="186"/>
      <c r="K11" s="186"/>
    </row>
    <row r="12" spans="1:13" s="114" customFormat="1" ht="41.25" customHeight="1">
      <c r="B12" s="101">
        <f t="shared" si="1"/>
        <v>40</v>
      </c>
      <c r="C12" s="81">
        <f>E11+3</f>
        <v>45929</v>
      </c>
      <c r="D12" s="82" t="s">
        <v>10</v>
      </c>
      <c r="E12" s="84">
        <f t="shared" si="0"/>
        <v>45933</v>
      </c>
      <c r="F12" s="186"/>
      <c r="G12" s="186"/>
      <c r="H12" s="201"/>
      <c r="I12" s="199"/>
      <c r="J12" s="199"/>
      <c r="K12" s="202" t="s">
        <v>92</v>
      </c>
      <c r="L12" s="282" t="s">
        <v>93</v>
      </c>
    </row>
    <row r="13" spans="1:13" s="114" customFormat="1" ht="48" customHeight="1">
      <c r="B13" s="102">
        <f t="shared" si="1"/>
        <v>41</v>
      </c>
      <c r="C13" s="112">
        <f t="shared" si="2"/>
        <v>45936</v>
      </c>
      <c r="D13" s="113" t="s">
        <v>10</v>
      </c>
      <c r="E13" s="121">
        <f t="shared" si="0"/>
        <v>45940</v>
      </c>
      <c r="F13" s="203"/>
      <c r="G13" s="186"/>
      <c r="H13" s="204" t="s">
        <v>94</v>
      </c>
      <c r="I13" s="186"/>
      <c r="J13" s="185"/>
      <c r="K13" s="186"/>
    </row>
    <row r="14" spans="1:13" s="114" customFormat="1" ht="31.5" customHeight="1">
      <c r="B14" s="100">
        <f t="shared" si="1"/>
        <v>42</v>
      </c>
      <c r="C14" s="110">
        <f t="shared" si="2"/>
        <v>45943</v>
      </c>
      <c r="D14" s="111" t="s">
        <v>10</v>
      </c>
      <c r="E14" s="122">
        <f>C14+4</f>
        <v>45947</v>
      </c>
      <c r="F14" s="205" t="s">
        <v>95</v>
      </c>
      <c r="G14" s="205" t="s">
        <v>95</v>
      </c>
      <c r="H14" s="205" t="s">
        <v>95</v>
      </c>
      <c r="I14" s="205" t="s">
        <v>95</v>
      </c>
      <c r="J14" s="205" t="s">
        <v>95</v>
      </c>
      <c r="K14" s="186"/>
    </row>
    <row r="15" spans="1:13" s="114" customFormat="1" ht="18">
      <c r="B15" s="101">
        <f t="shared" si="1"/>
        <v>43</v>
      </c>
      <c r="C15" s="81">
        <f>E14+3</f>
        <v>45950</v>
      </c>
      <c r="D15" s="82" t="s">
        <v>10</v>
      </c>
      <c r="E15" s="84">
        <f t="shared" si="0"/>
        <v>45954</v>
      </c>
      <c r="F15" s="186" t="s">
        <v>96</v>
      </c>
      <c r="G15" s="186"/>
      <c r="H15" s="206"/>
      <c r="I15" s="185"/>
      <c r="J15" s="185"/>
      <c r="K15" s="186"/>
    </row>
    <row r="16" spans="1:13" s="114" customFormat="1" ht="40.5" customHeight="1">
      <c r="B16" s="101">
        <f t="shared" si="1"/>
        <v>44</v>
      </c>
      <c r="C16" s="81">
        <f t="shared" si="2"/>
        <v>45957</v>
      </c>
      <c r="D16" s="82" t="s">
        <v>10</v>
      </c>
      <c r="E16" s="84">
        <f t="shared" si="0"/>
        <v>45961</v>
      </c>
      <c r="F16" s="207"/>
      <c r="G16" s="199"/>
      <c r="H16" s="186"/>
      <c r="J16" s="193" t="s">
        <v>85</v>
      </c>
      <c r="K16" s="201"/>
    </row>
    <row r="17" spans="2:11" s="114" customFormat="1" ht="39.75" customHeight="1">
      <c r="B17" s="101">
        <f t="shared" si="1"/>
        <v>45</v>
      </c>
      <c r="C17" s="81">
        <f t="shared" si="2"/>
        <v>45964</v>
      </c>
      <c r="D17" s="83" t="s">
        <v>10</v>
      </c>
      <c r="E17" s="84">
        <f>C17+4</f>
        <v>45968</v>
      </c>
      <c r="F17" s="208"/>
      <c r="G17" s="262"/>
      <c r="H17" s="195" t="s">
        <v>87</v>
      </c>
      <c r="I17" s="208"/>
      <c r="J17" s="195" t="s">
        <v>88</v>
      </c>
      <c r="K17" s="209"/>
    </row>
    <row r="18" spans="2:11" s="114" customFormat="1" ht="30" customHeight="1">
      <c r="B18" s="101">
        <f t="shared" si="1"/>
        <v>46</v>
      </c>
      <c r="C18" s="81">
        <f t="shared" si="2"/>
        <v>45971</v>
      </c>
      <c r="D18" s="83" t="s">
        <v>10</v>
      </c>
      <c r="E18" s="84">
        <f t="shared" si="0"/>
        <v>45975</v>
      </c>
      <c r="F18" s="191" t="s">
        <v>84</v>
      </c>
      <c r="G18" s="192" t="s">
        <v>81</v>
      </c>
      <c r="H18" s="207"/>
      <c r="I18" s="291"/>
      <c r="J18" s="207"/>
      <c r="K18" s="211" t="s">
        <v>97</v>
      </c>
    </row>
    <row r="19" spans="2:11" s="114" customFormat="1" ht="39" customHeight="1">
      <c r="B19" s="101">
        <f t="shared" si="1"/>
        <v>47</v>
      </c>
      <c r="C19" s="81">
        <f>E18+3</f>
        <v>45978</v>
      </c>
      <c r="D19" s="83" t="s">
        <v>10</v>
      </c>
      <c r="E19" s="84">
        <f>C19+4</f>
        <v>45982</v>
      </c>
      <c r="F19" s="188" t="s">
        <v>79</v>
      </c>
      <c r="G19" s="212" t="s">
        <v>98</v>
      </c>
      <c r="H19" s="210"/>
      <c r="I19" s="205" t="s">
        <v>95</v>
      </c>
      <c r="J19" s="205" t="s">
        <v>95</v>
      </c>
      <c r="K19" s="201"/>
    </row>
    <row r="20" spans="2:11" s="114" customFormat="1" ht="34.5" customHeight="1">
      <c r="B20" s="101">
        <f t="shared" si="1"/>
        <v>48</v>
      </c>
      <c r="C20" s="81">
        <f t="shared" si="2"/>
        <v>45985</v>
      </c>
      <c r="D20" s="83" t="s">
        <v>10</v>
      </c>
      <c r="E20" s="84">
        <f t="shared" si="0"/>
        <v>45989</v>
      </c>
      <c r="F20" s="190" t="s">
        <v>82</v>
      </c>
      <c r="G20" s="194" t="s">
        <v>86</v>
      </c>
      <c r="H20" s="201"/>
      <c r="I20" s="291"/>
      <c r="J20" s="226" t="s">
        <v>99</v>
      </c>
      <c r="K20" s="196" t="s">
        <v>89</v>
      </c>
    </row>
    <row r="21" spans="2:11" s="114" customFormat="1" ht="40.5" customHeight="1">
      <c r="B21" s="101">
        <f t="shared" si="1"/>
        <v>49</v>
      </c>
      <c r="C21" s="81">
        <f t="shared" si="2"/>
        <v>45992</v>
      </c>
      <c r="D21" s="83" t="s">
        <v>10</v>
      </c>
      <c r="E21" s="84">
        <f>C21+4</f>
        <v>45996</v>
      </c>
      <c r="F21" s="217" t="s">
        <v>100</v>
      </c>
      <c r="G21" s="186"/>
      <c r="H21" s="186"/>
      <c r="I21" s="186"/>
      <c r="J21" s="186"/>
      <c r="K21" s="186"/>
    </row>
    <row r="22" spans="2:11" s="114" customFormat="1" ht="26.25">
      <c r="B22" s="101">
        <f t="shared" si="1"/>
        <v>50</v>
      </c>
      <c r="C22" s="81">
        <f t="shared" si="2"/>
        <v>45999</v>
      </c>
      <c r="D22" s="83" t="s">
        <v>10</v>
      </c>
      <c r="E22" s="84">
        <f t="shared" si="0"/>
        <v>46003</v>
      </c>
      <c r="F22" s="213"/>
      <c r="G22" s="214" t="s">
        <v>101</v>
      </c>
      <c r="H22" s="201"/>
      <c r="I22" s="185"/>
      <c r="J22" s="186" t="s">
        <v>102</v>
      </c>
      <c r="K22" s="186" t="s">
        <v>102</v>
      </c>
    </row>
    <row r="23" spans="2:11" ht="15" customHeight="1">
      <c r="B23" s="101">
        <f t="shared" si="1"/>
        <v>51</v>
      </c>
      <c r="C23" s="81">
        <f t="shared" si="2"/>
        <v>46006</v>
      </c>
      <c r="D23" s="141" t="s">
        <v>10</v>
      </c>
      <c r="E23" s="84">
        <f t="shared" si="0"/>
        <v>46010</v>
      </c>
      <c r="F23" s="215"/>
      <c r="G23" s="186"/>
      <c r="H23" s="201"/>
      <c r="I23" s="186" t="s">
        <v>103</v>
      </c>
      <c r="J23" s="216"/>
      <c r="K23" s="187"/>
    </row>
  </sheetData>
  <mergeCells count="2">
    <mergeCell ref="E1:G1"/>
    <mergeCell ref="C2:E2"/>
  </mergeCells>
  <pageMargins left="0.25" right="0.25" top="0.75" bottom="0.75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EF1E-089A-442E-8A5F-ABA833AE7139}">
  <sheetPr>
    <pageSetUpPr fitToPage="1"/>
  </sheetPr>
  <dimension ref="A1:L23"/>
  <sheetViews>
    <sheetView topLeftCell="A11" workbookViewId="0">
      <selection activeCell="I20" sqref="I20"/>
    </sheetView>
  </sheetViews>
  <sheetFormatPr defaultRowHeight="15"/>
  <cols>
    <col min="1" max="1" width="2" customWidth="1"/>
    <col min="2" max="2" width="5.6640625" style="106" customWidth="1"/>
    <col min="3" max="3" width="8.88671875" customWidth="1"/>
    <col min="4" max="4" width="2.88671875" customWidth="1"/>
    <col min="5" max="5" width="11" customWidth="1"/>
    <col min="6" max="7" width="11.44140625" customWidth="1"/>
    <col min="8" max="8" width="12.5546875" customWidth="1"/>
    <col min="9" max="9" width="12" customWidth="1"/>
    <col min="10" max="10" width="10.33203125" customWidth="1"/>
    <col min="12" max="12" width="11.44140625" customWidth="1"/>
  </cols>
  <sheetData>
    <row r="1" spans="1:12" ht="18">
      <c r="B1" s="105"/>
      <c r="C1" s="77"/>
      <c r="D1" s="77"/>
      <c r="E1" s="304" t="s">
        <v>104</v>
      </c>
      <c r="F1" s="304"/>
      <c r="G1" s="304"/>
    </row>
    <row r="2" spans="1:12" ht="18" customHeight="1">
      <c r="A2" s="19"/>
      <c r="B2" s="104" t="s">
        <v>2</v>
      </c>
      <c r="C2" s="305" t="s">
        <v>3</v>
      </c>
      <c r="D2" s="306"/>
      <c r="E2" s="307"/>
      <c r="F2" s="78" t="s">
        <v>4</v>
      </c>
      <c r="G2" s="79" t="s">
        <v>5</v>
      </c>
      <c r="H2" s="79" t="s">
        <v>6</v>
      </c>
      <c r="I2" s="73" t="s">
        <v>7</v>
      </c>
      <c r="J2" s="80" t="s">
        <v>8</v>
      </c>
      <c r="K2" s="123" t="s">
        <v>78</v>
      </c>
    </row>
    <row r="3" spans="1:12" ht="18">
      <c r="B3" s="100">
        <v>31</v>
      </c>
      <c r="C3" s="81">
        <v>45866</v>
      </c>
      <c r="D3" s="82" t="s">
        <v>10</v>
      </c>
      <c r="E3" s="84">
        <f>C3+4</f>
        <v>45870</v>
      </c>
      <c r="F3" s="124"/>
      <c r="G3" s="124"/>
      <c r="H3" s="118"/>
      <c r="I3" s="118"/>
      <c r="J3" s="118"/>
      <c r="K3" s="118"/>
    </row>
    <row r="4" spans="1:12" ht="18">
      <c r="B4" s="101">
        <f>B3+1</f>
        <v>32</v>
      </c>
      <c r="C4" s="81">
        <f>E3+3</f>
        <v>45873</v>
      </c>
      <c r="D4" s="82" t="s">
        <v>10</v>
      </c>
      <c r="E4" s="84">
        <f t="shared" ref="E4:E23" si="0">C4+4</f>
        <v>45877</v>
      </c>
      <c r="F4" s="118"/>
      <c r="G4" s="118"/>
      <c r="H4" s="118"/>
      <c r="I4" s="118"/>
      <c r="J4" s="143">
        <v>33</v>
      </c>
      <c r="K4" s="118"/>
    </row>
    <row r="5" spans="1:12" ht="30">
      <c r="B5" s="101">
        <f t="shared" ref="B5:B23" si="1">B4+1</f>
        <v>33</v>
      </c>
      <c r="C5" s="81">
        <f t="shared" ref="C5:C23" si="2">E4+3</f>
        <v>45880</v>
      </c>
      <c r="D5" s="82" t="s">
        <v>10</v>
      </c>
      <c r="E5" s="84">
        <f t="shared" si="0"/>
        <v>45884</v>
      </c>
      <c r="F5" s="118"/>
      <c r="G5" s="118"/>
      <c r="H5" s="118"/>
      <c r="I5" s="180" t="s">
        <v>105</v>
      </c>
      <c r="J5" s="118"/>
      <c r="K5" s="118"/>
    </row>
    <row r="6" spans="1:12" ht="18">
      <c r="B6" s="101">
        <f t="shared" si="1"/>
        <v>34</v>
      </c>
      <c r="C6" s="81">
        <f>E5+3</f>
        <v>45887</v>
      </c>
      <c r="D6" s="82" t="s">
        <v>10</v>
      </c>
      <c r="E6" s="84">
        <f t="shared" si="0"/>
        <v>45891</v>
      </c>
      <c r="F6" s="118"/>
      <c r="G6" s="118"/>
      <c r="H6" s="118"/>
      <c r="I6" s="139" t="s">
        <v>80</v>
      </c>
      <c r="J6" s="118"/>
      <c r="K6" s="118"/>
    </row>
    <row r="7" spans="1:12" ht="36.75" customHeight="1">
      <c r="B7" s="101">
        <f t="shared" si="1"/>
        <v>35</v>
      </c>
      <c r="C7" s="81">
        <f>E6+3</f>
        <v>45894</v>
      </c>
      <c r="D7" s="82" t="s">
        <v>10</v>
      </c>
      <c r="E7" s="84">
        <f t="shared" si="0"/>
        <v>45898</v>
      </c>
      <c r="F7" s="124"/>
      <c r="G7" s="178" t="s">
        <v>81</v>
      </c>
      <c r="H7" s="124"/>
      <c r="I7" s="152"/>
      <c r="J7" s="179" t="s">
        <v>82</v>
      </c>
      <c r="K7" s="118"/>
    </row>
    <row r="8" spans="1:12" ht="32.25" customHeight="1">
      <c r="B8" s="101">
        <f t="shared" si="1"/>
        <v>36</v>
      </c>
      <c r="C8" s="81">
        <f t="shared" si="2"/>
        <v>45901</v>
      </c>
      <c r="D8" s="82" t="s">
        <v>10</v>
      </c>
      <c r="E8" s="84">
        <f>C8+4</f>
        <v>45905</v>
      </c>
      <c r="F8" s="236" t="s">
        <v>83</v>
      </c>
      <c r="G8" s="236" t="s">
        <v>83</v>
      </c>
      <c r="H8" s="237" t="s">
        <v>84</v>
      </c>
      <c r="I8" s="144"/>
      <c r="J8" s="183" t="s">
        <v>85</v>
      </c>
      <c r="K8" s="118"/>
    </row>
    <row r="9" spans="1:12" ht="34.5" customHeight="1">
      <c r="B9" s="101">
        <f t="shared" si="1"/>
        <v>37</v>
      </c>
      <c r="C9" s="81">
        <f>E8+3</f>
        <v>45908</v>
      </c>
      <c r="D9" s="82" t="s">
        <v>10</v>
      </c>
      <c r="E9" s="84">
        <f t="shared" si="0"/>
        <v>45912</v>
      </c>
      <c r="F9" s="118"/>
      <c r="G9" s="181" t="s">
        <v>106</v>
      </c>
      <c r="H9" s="177" t="s">
        <v>87</v>
      </c>
      <c r="I9" s="177" t="s">
        <v>88</v>
      </c>
      <c r="J9" s="151"/>
      <c r="K9" s="148" t="s">
        <v>89</v>
      </c>
      <c r="L9" s="109"/>
    </row>
    <row r="10" spans="1:12" ht="36.75" customHeight="1">
      <c r="B10" s="101">
        <f t="shared" si="1"/>
        <v>38</v>
      </c>
      <c r="C10" s="81">
        <f t="shared" si="2"/>
        <v>45915</v>
      </c>
      <c r="D10" s="82" t="s">
        <v>10</v>
      </c>
      <c r="E10" s="84">
        <f t="shared" si="0"/>
        <v>45919</v>
      </c>
      <c r="F10" s="150"/>
      <c r="G10" s="149" t="s">
        <v>90</v>
      </c>
      <c r="I10" s="126"/>
      <c r="J10" s="118"/>
      <c r="K10" s="144"/>
    </row>
    <row r="11" spans="1:12" ht="35.25" customHeight="1">
      <c r="B11" s="101">
        <f t="shared" si="1"/>
        <v>39</v>
      </c>
      <c r="C11" s="81">
        <f t="shared" si="2"/>
        <v>45922</v>
      </c>
      <c r="D11" s="82" t="s">
        <v>10</v>
      </c>
      <c r="E11" s="84">
        <f>C11+4</f>
        <v>45926</v>
      </c>
      <c r="F11" s="119" t="s">
        <v>91</v>
      </c>
      <c r="G11" s="126"/>
      <c r="H11" s="126"/>
      <c r="I11" s="127"/>
      <c r="J11" s="118"/>
      <c r="K11" s="118"/>
    </row>
    <row r="12" spans="1:12" ht="33.75" customHeight="1">
      <c r="B12" s="101">
        <f t="shared" si="1"/>
        <v>40</v>
      </c>
      <c r="C12" s="81">
        <f>E11+3</f>
        <v>45929</v>
      </c>
      <c r="D12" s="82" t="s">
        <v>10</v>
      </c>
      <c r="E12" s="84">
        <f t="shared" si="0"/>
        <v>45933</v>
      </c>
      <c r="F12" s="118"/>
      <c r="G12" s="118"/>
      <c r="H12" s="128"/>
      <c r="I12" s="130"/>
      <c r="J12" s="130"/>
      <c r="K12" s="145" t="s">
        <v>92</v>
      </c>
      <c r="L12" s="282" t="s">
        <v>93</v>
      </c>
    </row>
    <row r="13" spans="1:12" ht="36" customHeight="1">
      <c r="B13" s="102">
        <f t="shared" si="1"/>
        <v>41</v>
      </c>
      <c r="C13" s="112">
        <f t="shared" si="2"/>
        <v>45936</v>
      </c>
      <c r="D13" s="113" t="s">
        <v>10</v>
      </c>
      <c r="E13" s="121">
        <f t="shared" si="0"/>
        <v>45940</v>
      </c>
      <c r="F13" s="131"/>
      <c r="G13" s="118"/>
      <c r="H13" s="146" t="s">
        <v>94</v>
      </c>
      <c r="I13" s="118"/>
      <c r="J13" s="124"/>
      <c r="K13" s="118"/>
    </row>
    <row r="14" spans="1:12" ht="30.75" customHeight="1">
      <c r="B14" s="100">
        <f t="shared" si="1"/>
        <v>42</v>
      </c>
      <c r="C14" s="110">
        <f t="shared" si="2"/>
        <v>45943</v>
      </c>
      <c r="D14" s="111" t="s">
        <v>10</v>
      </c>
      <c r="E14" s="122">
        <f>C14+4</f>
        <v>45947</v>
      </c>
      <c r="F14" s="116" t="s">
        <v>95</v>
      </c>
      <c r="G14" s="116" t="s">
        <v>95</v>
      </c>
      <c r="H14" s="116" t="s">
        <v>95</v>
      </c>
      <c r="I14" s="116" t="s">
        <v>95</v>
      </c>
      <c r="J14" s="116" t="s">
        <v>95</v>
      </c>
      <c r="K14" s="118"/>
    </row>
    <row r="15" spans="1:12" ht="18">
      <c r="B15" s="101">
        <f t="shared" si="1"/>
        <v>43</v>
      </c>
      <c r="C15" s="81">
        <f>E14+3</f>
        <v>45950</v>
      </c>
      <c r="D15" s="82" t="s">
        <v>10</v>
      </c>
      <c r="E15" s="84">
        <f t="shared" si="0"/>
        <v>45954</v>
      </c>
      <c r="F15" s="186" t="s">
        <v>96</v>
      </c>
      <c r="G15" s="118"/>
      <c r="H15" s="132"/>
      <c r="I15" s="124"/>
      <c r="J15" s="124"/>
      <c r="K15" s="118"/>
    </row>
    <row r="16" spans="1:12" ht="18">
      <c r="B16" s="101">
        <f t="shared" si="1"/>
        <v>44</v>
      </c>
      <c r="C16" s="81">
        <f t="shared" si="2"/>
        <v>45957</v>
      </c>
      <c r="D16" s="82" t="s">
        <v>10</v>
      </c>
      <c r="E16" s="84">
        <f t="shared" si="0"/>
        <v>45961</v>
      </c>
      <c r="F16" s="133"/>
      <c r="G16" s="127"/>
      <c r="H16" s="118"/>
      <c r="I16" s="153"/>
      <c r="J16" s="183" t="s">
        <v>85</v>
      </c>
      <c r="K16" s="128"/>
    </row>
    <row r="17" spans="2:11" ht="33" customHeight="1">
      <c r="B17" s="101">
        <f t="shared" si="1"/>
        <v>45</v>
      </c>
      <c r="C17" s="81">
        <f t="shared" si="2"/>
        <v>45964</v>
      </c>
      <c r="D17" s="83" t="s">
        <v>10</v>
      </c>
      <c r="E17" s="84">
        <f>C17+4</f>
        <v>45968</v>
      </c>
      <c r="F17" s="120"/>
      <c r="G17" s="263"/>
      <c r="H17" s="177" t="s">
        <v>87</v>
      </c>
      <c r="I17" s="120"/>
      <c r="J17" s="177" t="s">
        <v>88</v>
      </c>
      <c r="K17" s="156"/>
    </row>
    <row r="18" spans="2:11" ht="29.25" customHeight="1">
      <c r="B18" s="101">
        <f t="shared" si="1"/>
        <v>46</v>
      </c>
      <c r="C18" s="81">
        <f t="shared" si="2"/>
        <v>45971</v>
      </c>
      <c r="D18" s="83" t="s">
        <v>10</v>
      </c>
      <c r="E18" s="84">
        <f t="shared" si="0"/>
        <v>45975</v>
      </c>
      <c r="F18" s="182" t="s">
        <v>84</v>
      </c>
      <c r="G18" s="192" t="s">
        <v>81</v>
      </c>
      <c r="H18" s="137"/>
      <c r="I18" s="291"/>
      <c r="J18" s="137"/>
      <c r="K18" s="125" t="s">
        <v>97</v>
      </c>
    </row>
    <row r="19" spans="2:11" ht="30">
      <c r="B19" s="101">
        <f t="shared" si="1"/>
        <v>47</v>
      </c>
      <c r="C19" s="81">
        <f>E18+3</f>
        <v>45978</v>
      </c>
      <c r="D19" s="83" t="s">
        <v>10</v>
      </c>
      <c r="E19" s="84">
        <f>C19+4</f>
        <v>45982</v>
      </c>
      <c r="F19" s="180" t="s">
        <v>105</v>
      </c>
      <c r="G19" s="184" t="s">
        <v>98</v>
      </c>
      <c r="H19" s="140"/>
      <c r="I19" s="116" t="s">
        <v>95</v>
      </c>
      <c r="J19" s="116" t="s">
        <v>95</v>
      </c>
      <c r="K19" s="128"/>
    </row>
    <row r="20" spans="2:11" ht="29.25" customHeight="1">
      <c r="B20" s="101">
        <f t="shared" si="1"/>
        <v>48</v>
      </c>
      <c r="C20" s="81">
        <f t="shared" si="2"/>
        <v>45985</v>
      </c>
      <c r="D20" s="83" t="s">
        <v>10</v>
      </c>
      <c r="E20" s="84">
        <f t="shared" si="0"/>
        <v>45989</v>
      </c>
      <c r="F20" s="179" t="s">
        <v>82</v>
      </c>
      <c r="G20" s="181" t="s">
        <v>106</v>
      </c>
      <c r="H20" s="128"/>
      <c r="I20" s="291"/>
      <c r="J20" s="226" t="s">
        <v>99</v>
      </c>
      <c r="K20" s="148" t="s">
        <v>89</v>
      </c>
    </row>
    <row r="21" spans="2:11" ht="43.5" customHeight="1">
      <c r="B21" s="101">
        <f t="shared" si="1"/>
        <v>49</v>
      </c>
      <c r="C21" s="81">
        <f t="shared" si="2"/>
        <v>45992</v>
      </c>
      <c r="D21" s="83" t="s">
        <v>10</v>
      </c>
      <c r="E21" s="84">
        <f>C21+4</f>
        <v>45996</v>
      </c>
      <c r="F21" s="217" t="s">
        <v>100</v>
      </c>
      <c r="G21" s="118"/>
      <c r="H21" s="118"/>
      <c r="I21" s="118"/>
      <c r="J21" s="118"/>
      <c r="K21" s="118"/>
    </row>
    <row r="22" spans="2:11" ht="26.25">
      <c r="B22" s="101">
        <f t="shared" si="1"/>
        <v>50</v>
      </c>
      <c r="C22" s="81">
        <f t="shared" si="2"/>
        <v>45999</v>
      </c>
      <c r="D22" s="83" t="s">
        <v>10</v>
      </c>
      <c r="E22" s="84">
        <f t="shared" si="0"/>
        <v>46003</v>
      </c>
      <c r="F22" s="157"/>
      <c r="G22" s="147" t="s">
        <v>101</v>
      </c>
      <c r="H22" s="128"/>
      <c r="I22" s="124"/>
      <c r="J22" s="118" t="s">
        <v>102</v>
      </c>
      <c r="K22" s="118" t="s">
        <v>102</v>
      </c>
    </row>
    <row r="23" spans="2:11" ht="18">
      <c r="B23" s="101">
        <f t="shared" si="1"/>
        <v>51</v>
      </c>
      <c r="C23" s="81">
        <f t="shared" si="2"/>
        <v>46006</v>
      </c>
      <c r="D23" s="141" t="s">
        <v>10</v>
      </c>
      <c r="E23" s="84">
        <f t="shared" si="0"/>
        <v>46010</v>
      </c>
      <c r="F23" s="136"/>
      <c r="G23" s="118"/>
      <c r="H23" s="128"/>
      <c r="I23" s="118" t="s">
        <v>103</v>
      </c>
      <c r="J23" s="142"/>
      <c r="K23" s="143"/>
    </row>
  </sheetData>
  <mergeCells count="2">
    <mergeCell ref="E1:G1"/>
    <mergeCell ref="C2:E2"/>
  </mergeCells>
  <pageMargins left="0.25" right="0.25" top="0.75" bottom="0.75" header="0.3" footer="0.3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F007-A228-4381-915B-4B3179754C2E}">
  <sheetPr>
    <pageSetUpPr fitToPage="1"/>
  </sheetPr>
  <dimension ref="A1:L23"/>
  <sheetViews>
    <sheetView topLeftCell="A11" workbookViewId="0">
      <selection activeCell="H18" sqref="H18"/>
    </sheetView>
  </sheetViews>
  <sheetFormatPr defaultRowHeight="15" customHeight="1"/>
  <cols>
    <col min="1" max="1" width="1.77734375" customWidth="1"/>
    <col min="2" max="2" width="3.44140625" customWidth="1"/>
    <col min="3" max="3" width="8.6640625" customWidth="1"/>
    <col min="4" max="4" width="1.6640625" customWidth="1"/>
    <col min="5" max="5" width="8.33203125" customWidth="1"/>
    <col min="6" max="6" width="12.77734375" customWidth="1"/>
    <col min="7" max="7" width="10.77734375" customWidth="1"/>
    <col min="8" max="8" width="16.6640625" customWidth="1"/>
    <col min="9" max="9" width="12.77734375" customWidth="1"/>
    <col min="10" max="10" width="11.44140625" customWidth="1"/>
    <col min="11" max="11" width="10.21875" customWidth="1"/>
    <col min="12" max="12" width="11.44140625" customWidth="1"/>
  </cols>
  <sheetData>
    <row r="1" spans="1:12" ht="25.5">
      <c r="B1" s="2"/>
      <c r="C1" s="77"/>
      <c r="D1" s="77"/>
      <c r="E1" s="304" t="s">
        <v>107</v>
      </c>
      <c r="F1" s="304"/>
      <c r="G1" s="304"/>
    </row>
    <row r="2" spans="1:12" ht="27.75" customHeight="1">
      <c r="A2" s="19"/>
      <c r="B2" s="104" t="s">
        <v>2</v>
      </c>
      <c r="C2" s="305" t="s">
        <v>3</v>
      </c>
      <c r="D2" s="306"/>
      <c r="E2" s="307"/>
      <c r="F2" s="78" t="s">
        <v>4</v>
      </c>
      <c r="G2" s="79" t="s">
        <v>5</v>
      </c>
      <c r="H2" s="79" t="s">
        <v>6</v>
      </c>
      <c r="I2" s="73" t="s">
        <v>7</v>
      </c>
      <c r="J2" s="80" t="s">
        <v>8</v>
      </c>
      <c r="K2" s="123" t="s">
        <v>78</v>
      </c>
    </row>
    <row r="3" spans="1:12" ht="18">
      <c r="B3" s="100">
        <v>31</v>
      </c>
      <c r="C3" s="81">
        <v>45866</v>
      </c>
      <c r="D3" s="82" t="s">
        <v>10</v>
      </c>
      <c r="E3" s="84">
        <f>C3+4</f>
        <v>45870</v>
      </c>
      <c r="F3" s="124"/>
      <c r="G3" s="124"/>
      <c r="H3" s="118"/>
      <c r="I3" s="118"/>
      <c r="J3" s="118"/>
      <c r="K3" s="118"/>
    </row>
    <row r="4" spans="1:12" ht="18">
      <c r="B4" s="101">
        <f>B3+1</f>
        <v>32</v>
      </c>
      <c r="C4" s="81">
        <f>E3+3</f>
        <v>45873</v>
      </c>
      <c r="D4" s="82" t="s">
        <v>10</v>
      </c>
      <c r="E4" s="84">
        <f t="shared" ref="E4:E23" si="0">C4+4</f>
        <v>45877</v>
      </c>
      <c r="F4" s="118"/>
      <c r="G4" s="118"/>
      <c r="H4" s="118"/>
      <c r="I4" s="118"/>
      <c r="J4" s="143"/>
      <c r="K4" s="118"/>
    </row>
    <row r="5" spans="1:12" ht="18">
      <c r="B5" s="101">
        <f t="shared" ref="B5:B23" si="1">B4+1</f>
        <v>33</v>
      </c>
      <c r="C5" s="81">
        <f t="shared" ref="C5:C23" si="2">E4+3</f>
        <v>45880</v>
      </c>
      <c r="D5" s="82" t="s">
        <v>10</v>
      </c>
      <c r="E5" s="84">
        <f t="shared" si="0"/>
        <v>45884</v>
      </c>
      <c r="F5" s="118"/>
      <c r="G5" s="118"/>
      <c r="H5" s="118"/>
      <c r="I5" s="118"/>
      <c r="J5" s="118"/>
      <c r="K5" s="118"/>
    </row>
    <row r="6" spans="1:12" ht="23.25">
      <c r="B6" s="101">
        <f t="shared" si="1"/>
        <v>34</v>
      </c>
      <c r="C6" s="81">
        <f>E5+3</f>
        <v>45887</v>
      </c>
      <c r="D6" s="82" t="s">
        <v>10</v>
      </c>
      <c r="E6" s="84">
        <f t="shared" si="0"/>
        <v>45891</v>
      </c>
      <c r="F6" s="118"/>
      <c r="G6" s="118"/>
      <c r="H6" s="118"/>
      <c r="I6" s="139" t="s">
        <v>80</v>
      </c>
      <c r="J6" s="227" t="s">
        <v>108</v>
      </c>
      <c r="K6" s="118"/>
    </row>
    <row r="7" spans="1:12" ht="23.25">
      <c r="B7" s="101">
        <f t="shared" si="1"/>
        <v>35</v>
      </c>
      <c r="C7" s="81">
        <f>E6+3</f>
        <v>45894</v>
      </c>
      <c r="D7" s="82" t="s">
        <v>10</v>
      </c>
      <c r="E7" s="84">
        <f t="shared" si="0"/>
        <v>45898</v>
      </c>
      <c r="F7" s="217" t="s">
        <v>109</v>
      </c>
      <c r="G7" s="247"/>
      <c r="H7" s="227" t="s">
        <v>110</v>
      </c>
      <c r="I7" s="124"/>
      <c r="J7" s="223" t="s">
        <v>111</v>
      </c>
      <c r="K7" s="118"/>
    </row>
    <row r="8" spans="1:12" ht="46.5" customHeight="1">
      <c r="B8" s="101">
        <f t="shared" si="1"/>
        <v>36</v>
      </c>
      <c r="C8" s="81">
        <f t="shared" si="2"/>
        <v>45901</v>
      </c>
      <c r="D8" s="82" t="s">
        <v>10</v>
      </c>
      <c r="E8" s="84">
        <f>C8+4</f>
        <v>45905</v>
      </c>
      <c r="F8" s="246"/>
      <c r="G8" s="246"/>
      <c r="H8" s="224" t="s">
        <v>112</v>
      </c>
      <c r="I8" s="221" t="s">
        <v>113</v>
      </c>
      <c r="J8" s="218" t="s">
        <v>114</v>
      </c>
      <c r="K8" s="118"/>
    </row>
    <row r="9" spans="1:12" ht="27.75" customHeight="1">
      <c r="B9" s="101">
        <f t="shared" si="1"/>
        <v>37</v>
      </c>
      <c r="C9" s="81">
        <f>E8+3</f>
        <v>45908</v>
      </c>
      <c r="D9" s="82" t="s">
        <v>10</v>
      </c>
      <c r="E9" s="84">
        <f t="shared" si="0"/>
        <v>45912</v>
      </c>
      <c r="F9" s="248"/>
      <c r="G9" s="219" t="s">
        <v>115</v>
      </c>
      <c r="H9" s="220" t="s">
        <v>116</v>
      </c>
      <c r="I9" s="218" t="s">
        <v>117</v>
      </c>
      <c r="J9" s="151"/>
      <c r="K9" s="148" t="s">
        <v>89</v>
      </c>
    </row>
    <row r="10" spans="1:12" ht="48.75" customHeight="1">
      <c r="B10" s="101">
        <f t="shared" si="1"/>
        <v>38</v>
      </c>
      <c r="C10" s="81">
        <f t="shared" si="2"/>
        <v>45915</v>
      </c>
      <c r="D10" s="82" t="s">
        <v>10</v>
      </c>
      <c r="E10" s="84">
        <f t="shared" si="0"/>
        <v>45919</v>
      </c>
      <c r="F10" s="150" t="s">
        <v>118</v>
      </c>
      <c r="G10" s="149" t="s">
        <v>90</v>
      </c>
      <c r="H10" s="146" t="s">
        <v>119</v>
      </c>
      <c r="I10" s="126"/>
      <c r="J10" s="118"/>
      <c r="K10" s="144"/>
    </row>
    <row r="11" spans="1:12" ht="36" customHeight="1">
      <c r="B11" s="101">
        <f t="shared" si="1"/>
        <v>39</v>
      </c>
      <c r="C11" s="81">
        <f t="shared" si="2"/>
        <v>45922</v>
      </c>
      <c r="D11" s="82" t="s">
        <v>10</v>
      </c>
      <c r="E11" s="84">
        <f>C11+4</f>
        <v>45926</v>
      </c>
      <c r="F11" s="119" t="s">
        <v>91</v>
      </c>
      <c r="G11" s="126"/>
      <c r="H11" s="126"/>
      <c r="J11" s="127"/>
      <c r="K11" s="118"/>
    </row>
    <row r="12" spans="1:12" ht="35.25" customHeight="1">
      <c r="B12" s="101">
        <f t="shared" si="1"/>
        <v>40</v>
      </c>
      <c r="C12" s="81">
        <f>E11+3</f>
        <v>45929</v>
      </c>
      <c r="D12" s="82" t="s">
        <v>10</v>
      </c>
      <c r="E12" s="84">
        <f t="shared" si="0"/>
        <v>45933</v>
      </c>
      <c r="F12" s="118"/>
      <c r="G12" s="118"/>
      <c r="H12" s="128"/>
      <c r="I12" s="129"/>
      <c r="J12" s="130"/>
      <c r="K12" s="145" t="s">
        <v>92</v>
      </c>
      <c r="L12" s="282" t="s">
        <v>93</v>
      </c>
    </row>
    <row r="13" spans="1:12" ht="44.25" customHeight="1">
      <c r="B13" s="102">
        <f t="shared" si="1"/>
        <v>41</v>
      </c>
      <c r="C13" s="112">
        <f t="shared" si="2"/>
        <v>45936</v>
      </c>
      <c r="D13" s="113" t="s">
        <v>10</v>
      </c>
      <c r="E13" s="121">
        <f t="shared" si="0"/>
        <v>45940</v>
      </c>
      <c r="F13" s="131"/>
      <c r="G13" s="118"/>
      <c r="H13" s="223" t="s">
        <v>111</v>
      </c>
      <c r="I13" s="227" t="s">
        <v>110</v>
      </c>
      <c r="J13" s="164" t="s">
        <v>120</v>
      </c>
      <c r="K13" s="231"/>
    </row>
    <row r="14" spans="1:12" ht="28.5" customHeight="1">
      <c r="B14" s="100">
        <f t="shared" si="1"/>
        <v>42</v>
      </c>
      <c r="C14" s="110">
        <f t="shared" si="2"/>
        <v>45943</v>
      </c>
      <c r="D14" s="111" t="s">
        <v>10</v>
      </c>
      <c r="E14" s="122">
        <f>C14+4</f>
        <v>45947</v>
      </c>
      <c r="F14" s="116" t="s">
        <v>95</v>
      </c>
      <c r="G14" s="116" t="s">
        <v>95</v>
      </c>
      <c r="H14" s="116" t="s">
        <v>95</v>
      </c>
      <c r="I14" s="116" t="s">
        <v>95</v>
      </c>
      <c r="J14" s="116" t="s">
        <v>95</v>
      </c>
      <c r="K14" s="118"/>
    </row>
    <row r="15" spans="1:12" ht="31.5" customHeight="1">
      <c r="B15" s="101">
        <f t="shared" si="1"/>
        <v>43</v>
      </c>
      <c r="C15" s="81">
        <f>E14+3</f>
        <v>45950</v>
      </c>
      <c r="D15" s="82" t="s">
        <v>10</v>
      </c>
      <c r="E15" s="84">
        <f t="shared" si="0"/>
        <v>45954</v>
      </c>
      <c r="F15" s="186" t="s">
        <v>96</v>
      </c>
      <c r="G15" s="118"/>
      <c r="H15" s="286"/>
      <c r="I15" s="222" t="s">
        <v>117</v>
      </c>
      <c r="J15" s="225" t="s">
        <v>121</v>
      </c>
      <c r="K15" s="118"/>
    </row>
    <row r="16" spans="1:12" ht="46.5" customHeight="1">
      <c r="B16" s="101">
        <f t="shared" si="1"/>
        <v>44</v>
      </c>
      <c r="C16" s="81">
        <f t="shared" si="2"/>
        <v>45957</v>
      </c>
      <c r="D16" s="82" t="s">
        <v>10</v>
      </c>
      <c r="E16" s="84">
        <f t="shared" si="0"/>
        <v>45961</v>
      </c>
      <c r="F16" s="217" t="s">
        <v>109</v>
      </c>
      <c r="G16" s="218" t="s">
        <v>114</v>
      </c>
      <c r="H16" s="118"/>
      <c r="I16" s="221" t="s">
        <v>113</v>
      </c>
      <c r="K16" s="128"/>
    </row>
    <row r="17" spans="2:11" ht="28.5" customHeight="1">
      <c r="B17" s="101">
        <f t="shared" si="1"/>
        <v>45</v>
      </c>
      <c r="C17" s="81">
        <f t="shared" si="2"/>
        <v>45964</v>
      </c>
      <c r="D17" s="83" t="s">
        <v>10</v>
      </c>
      <c r="E17" s="84">
        <f>C17+4</f>
        <v>45968</v>
      </c>
      <c r="F17" s="220" t="s">
        <v>116</v>
      </c>
      <c r="G17" s="291"/>
      <c r="H17" s="127"/>
      <c r="I17" s="219" t="s">
        <v>115</v>
      </c>
      <c r="J17" s="148" t="s">
        <v>89</v>
      </c>
      <c r="K17" s="156"/>
    </row>
    <row r="18" spans="2:11" ht="68.25" customHeight="1">
      <c r="B18" s="101">
        <f t="shared" si="1"/>
        <v>46</v>
      </c>
      <c r="C18" s="81">
        <f t="shared" si="2"/>
        <v>45971</v>
      </c>
      <c r="D18" s="83" t="s">
        <v>10</v>
      </c>
      <c r="E18" s="84">
        <f t="shared" si="0"/>
        <v>45975</v>
      </c>
      <c r="F18" s="134"/>
      <c r="G18" s="224" t="s">
        <v>112</v>
      </c>
      <c r="H18" s="227" t="s">
        <v>108</v>
      </c>
      <c r="I18" s="140"/>
      <c r="J18" s="267"/>
      <c r="K18" s="125" t="s">
        <v>97</v>
      </c>
    </row>
    <row r="19" spans="2:11" ht="45.75" customHeight="1">
      <c r="B19" s="101">
        <f t="shared" si="1"/>
        <v>47</v>
      </c>
      <c r="C19" s="81">
        <f>E18+3</f>
        <v>45978</v>
      </c>
      <c r="D19" s="83" t="s">
        <v>10</v>
      </c>
      <c r="E19" s="84">
        <f>C19+4</f>
        <v>45982</v>
      </c>
      <c r="F19" s="118"/>
      <c r="G19" s="147" t="s">
        <v>101</v>
      </c>
      <c r="H19" s="140"/>
      <c r="I19" s="116" t="s">
        <v>95</v>
      </c>
      <c r="J19" s="116" t="s">
        <v>95</v>
      </c>
      <c r="K19" s="128"/>
    </row>
    <row r="20" spans="2:11" ht="37.5" customHeight="1">
      <c r="B20" s="101">
        <f t="shared" si="1"/>
        <v>48</v>
      </c>
      <c r="C20" s="81">
        <f t="shared" si="2"/>
        <v>45985</v>
      </c>
      <c r="D20" s="83" t="s">
        <v>10</v>
      </c>
      <c r="E20" s="84">
        <f t="shared" si="0"/>
        <v>45989</v>
      </c>
      <c r="F20" s="118"/>
      <c r="G20" s="133"/>
      <c r="H20" s="125" t="s">
        <v>122</v>
      </c>
      <c r="I20" s="132"/>
      <c r="J20" s="135"/>
      <c r="K20" s="128"/>
    </row>
    <row r="21" spans="2:11" ht="38.25" customHeight="1">
      <c r="B21" s="101">
        <f t="shared" si="1"/>
        <v>49</v>
      </c>
      <c r="C21" s="81">
        <f t="shared" si="2"/>
        <v>45992</v>
      </c>
      <c r="D21" s="83" t="s">
        <v>10</v>
      </c>
      <c r="E21" s="84">
        <f>C21+4</f>
        <v>45996</v>
      </c>
      <c r="F21" s="118"/>
      <c r="G21" s="118"/>
      <c r="H21" s="118"/>
      <c r="I21" s="118"/>
      <c r="J21" s="118"/>
      <c r="K21" s="118"/>
    </row>
    <row r="22" spans="2:11" ht="18">
      <c r="B22" s="101">
        <f t="shared" si="1"/>
        <v>50</v>
      </c>
      <c r="C22" s="81">
        <f t="shared" si="2"/>
        <v>45999</v>
      </c>
      <c r="D22" s="83" t="s">
        <v>10</v>
      </c>
      <c r="E22" s="84">
        <f t="shared" si="0"/>
        <v>46003</v>
      </c>
      <c r="F22" s="136"/>
      <c r="G22" s="118"/>
      <c r="H22" s="128"/>
      <c r="I22" s="124"/>
      <c r="J22" s="118" t="s">
        <v>102</v>
      </c>
      <c r="K22" s="118" t="s">
        <v>102</v>
      </c>
    </row>
    <row r="23" spans="2:11" ht="15" customHeight="1">
      <c r="B23" s="101">
        <f t="shared" si="1"/>
        <v>51</v>
      </c>
      <c r="C23" s="81">
        <f t="shared" si="2"/>
        <v>46006</v>
      </c>
      <c r="D23" s="141" t="s">
        <v>10</v>
      </c>
      <c r="E23" s="84">
        <f t="shared" si="0"/>
        <v>46010</v>
      </c>
      <c r="F23" s="136"/>
      <c r="G23" s="118"/>
      <c r="H23" s="128"/>
      <c r="I23" s="118" t="s">
        <v>103</v>
      </c>
      <c r="J23" s="142"/>
      <c r="K23" s="143"/>
    </row>
  </sheetData>
  <mergeCells count="2">
    <mergeCell ref="E1:G1"/>
    <mergeCell ref="C2:E2"/>
  </mergeCells>
  <pageMargins left="0.25" right="0.25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5B5E-9660-4034-B908-D9134B0EB5E6}">
  <sheetPr>
    <pageSetUpPr fitToPage="1"/>
  </sheetPr>
  <dimension ref="A1:L23"/>
  <sheetViews>
    <sheetView topLeftCell="A8" workbookViewId="0">
      <selection activeCell="L14" sqref="L14"/>
    </sheetView>
  </sheetViews>
  <sheetFormatPr defaultRowHeight="15" customHeight="1"/>
  <cols>
    <col min="1" max="1" width="3.33203125" customWidth="1"/>
    <col min="2" max="2" width="5.6640625" customWidth="1"/>
    <col min="4" max="4" width="2.88671875" customWidth="1"/>
    <col min="6" max="6" width="12.5546875" customWidth="1"/>
    <col min="7" max="7" width="10.6640625" customWidth="1"/>
    <col min="8" max="8" width="13.21875" customWidth="1"/>
    <col min="9" max="9" width="14.33203125" customWidth="1"/>
    <col min="10" max="10" width="10.77734375" customWidth="1"/>
    <col min="12" max="12" width="11.44140625" customWidth="1"/>
  </cols>
  <sheetData>
    <row r="1" spans="1:12" ht="25.5">
      <c r="B1" s="2"/>
      <c r="C1" s="77"/>
      <c r="D1" s="77"/>
      <c r="E1" s="304" t="s">
        <v>123</v>
      </c>
      <c r="F1" s="304"/>
      <c r="G1" s="304"/>
    </row>
    <row r="2" spans="1:12" ht="18" customHeight="1">
      <c r="A2" s="19"/>
      <c r="B2" s="104" t="s">
        <v>2</v>
      </c>
      <c r="C2" s="305" t="s">
        <v>3</v>
      </c>
      <c r="D2" s="306"/>
      <c r="E2" s="307"/>
      <c r="F2" s="78" t="s">
        <v>4</v>
      </c>
      <c r="G2" s="79" t="s">
        <v>5</v>
      </c>
      <c r="H2" s="79" t="s">
        <v>6</v>
      </c>
      <c r="I2" s="73" t="s">
        <v>7</v>
      </c>
      <c r="J2" s="80" t="s">
        <v>8</v>
      </c>
      <c r="K2" s="123" t="s">
        <v>78</v>
      </c>
    </row>
    <row r="3" spans="1:12" ht="18">
      <c r="B3" s="100">
        <v>31</v>
      </c>
      <c r="C3" s="81">
        <v>45866</v>
      </c>
      <c r="D3" s="82" t="s">
        <v>10</v>
      </c>
      <c r="E3" s="84">
        <f>C3+4</f>
        <v>45870</v>
      </c>
      <c r="F3" s="124"/>
      <c r="G3" s="124"/>
      <c r="H3" s="118"/>
      <c r="I3" s="118"/>
      <c r="J3" s="118"/>
      <c r="K3" s="118"/>
    </row>
    <row r="4" spans="1:12" ht="27" customHeight="1">
      <c r="B4" s="101">
        <f>B3+1</f>
        <v>32</v>
      </c>
      <c r="C4" s="81">
        <f>E3+3</f>
        <v>45873</v>
      </c>
      <c r="D4" s="82" t="s">
        <v>10</v>
      </c>
      <c r="E4" s="84">
        <f t="shared" ref="E4:E23" si="0">C4+4</f>
        <v>45877</v>
      </c>
      <c r="F4" s="118"/>
      <c r="G4" s="118"/>
      <c r="H4" s="118"/>
      <c r="I4" s="118"/>
      <c r="J4" s="143"/>
      <c r="K4" s="118"/>
    </row>
    <row r="5" spans="1:12" ht="18">
      <c r="B5" s="101">
        <f t="shared" ref="B5:B23" si="1">B4+1</f>
        <v>33</v>
      </c>
      <c r="C5" s="81">
        <f t="shared" ref="C5:C23" si="2">E4+3</f>
        <v>45880</v>
      </c>
      <c r="D5" s="82" t="s">
        <v>10</v>
      </c>
      <c r="E5" s="84">
        <f t="shared" si="0"/>
        <v>45884</v>
      </c>
      <c r="F5" s="118"/>
      <c r="G5" s="118"/>
      <c r="H5" s="118"/>
      <c r="I5" s="118"/>
      <c r="J5" s="118"/>
      <c r="K5" s="118"/>
    </row>
    <row r="6" spans="1:12" ht="23.25">
      <c r="B6" s="101">
        <f t="shared" si="1"/>
        <v>34</v>
      </c>
      <c r="C6" s="81">
        <f>E5+3</f>
        <v>45887</v>
      </c>
      <c r="D6" s="82" t="s">
        <v>10</v>
      </c>
      <c r="E6" s="84">
        <f t="shared" si="0"/>
        <v>45891</v>
      </c>
      <c r="F6" s="118"/>
      <c r="G6" s="118"/>
      <c r="H6" s="118"/>
      <c r="I6" s="139" t="s">
        <v>80</v>
      </c>
      <c r="J6" s="227" t="s">
        <v>108</v>
      </c>
      <c r="K6" s="118"/>
    </row>
    <row r="7" spans="1:12" ht="23.25">
      <c r="B7" s="101">
        <f t="shared" si="1"/>
        <v>35</v>
      </c>
      <c r="C7" s="81">
        <f>E6+3</f>
        <v>45894</v>
      </c>
      <c r="D7" s="82" t="s">
        <v>10</v>
      </c>
      <c r="E7" s="84">
        <f t="shared" si="0"/>
        <v>45898</v>
      </c>
      <c r="F7" s="217" t="s">
        <v>109</v>
      </c>
      <c r="G7" s="124"/>
      <c r="H7" s="227" t="s">
        <v>110</v>
      </c>
      <c r="I7" s="124"/>
      <c r="J7" s="223" t="s">
        <v>111</v>
      </c>
      <c r="K7" s="118"/>
    </row>
    <row r="8" spans="1:12" ht="48" customHeight="1">
      <c r="B8" s="101">
        <f t="shared" si="1"/>
        <v>36</v>
      </c>
      <c r="C8" s="81">
        <f t="shared" si="2"/>
        <v>45901</v>
      </c>
      <c r="D8" s="82" t="s">
        <v>10</v>
      </c>
      <c r="E8" s="84">
        <f>C8+4</f>
        <v>45905</v>
      </c>
      <c r="F8" s="118"/>
      <c r="G8" s="240"/>
      <c r="H8" s="224" t="s">
        <v>112</v>
      </c>
      <c r="I8" s="221" t="s">
        <v>113</v>
      </c>
      <c r="J8" s="218" t="s">
        <v>114</v>
      </c>
      <c r="K8" s="118"/>
    </row>
    <row r="9" spans="1:12" ht="36" customHeight="1">
      <c r="B9" s="101">
        <f t="shared" si="1"/>
        <v>37</v>
      </c>
      <c r="C9" s="81">
        <f>E8+3</f>
        <v>45908</v>
      </c>
      <c r="D9" s="82" t="s">
        <v>10</v>
      </c>
      <c r="E9" s="84">
        <f t="shared" si="0"/>
        <v>45912</v>
      </c>
      <c r="F9" s="160" t="s">
        <v>124</v>
      </c>
      <c r="G9" s="118"/>
      <c r="H9" s="159" t="s">
        <v>116</v>
      </c>
      <c r="I9" s="238" t="s">
        <v>117</v>
      </c>
      <c r="J9" s="151"/>
      <c r="K9" s="148" t="s">
        <v>89</v>
      </c>
    </row>
    <row r="10" spans="1:12" ht="55.5" customHeight="1">
      <c r="B10" s="101">
        <f t="shared" si="1"/>
        <v>38</v>
      </c>
      <c r="C10" s="81">
        <f t="shared" si="2"/>
        <v>45915</v>
      </c>
      <c r="D10" s="82" t="s">
        <v>10</v>
      </c>
      <c r="E10" s="84">
        <f t="shared" si="0"/>
        <v>45919</v>
      </c>
      <c r="F10" s="284" t="s">
        <v>118</v>
      </c>
      <c r="G10" s="149" t="s">
        <v>90</v>
      </c>
      <c r="H10" s="146" t="s">
        <v>119</v>
      </c>
      <c r="I10" s="126"/>
      <c r="J10" s="118"/>
      <c r="K10" s="144"/>
    </row>
    <row r="11" spans="1:12" ht="30" customHeight="1">
      <c r="B11" s="101">
        <f t="shared" si="1"/>
        <v>39</v>
      </c>
      <c r="C11" s="81">
        <f t="shared" si="2"/>
        <v>45922</v>
      </c>
      <c r="D11" s="82" t="s">
        <v>10</v>
      </c>
      <c r="E11" s="84">
        <f>C11+4</f>
        <v>45926</v>
      </c>
      <c r="F11" s="119" t="s">
        <v>91</v>
      </c>
      <c r="G11" s="283"/>
      <c r="H11" s="126"/>
      <c r="I11" s="127"/>
      <c r="J11" s="118"/>
      <c r="K11" s="118"/>
    </row>
    <row r="12" spans="1:12" ht="30.75" customHeight="1">
      <c r="B12" s="101">
        <f t="shared" si="1"/>
        <v>40</v>
      </c>
      <c r="C12" s="81">
        <f>E11+3</f>
        <v>45929</v>
      </c>
      <c r="D12" s="82" t="s">
        <v>10</v>
      </c>
      <c r="E12" s="84">
        <f t="shared" si="0"/>
        <v>45933</v>
      </c>
      <c r="F12" s="248"/>
      <c r="G12" s="118"/>
      <c r="H12" s="128"/>
      <c r="I12" s="129"/>
      <c r="J12" s="130"/>
      <c r="K12" s="145" t="s">
        <v>92</v>
      </c>
      <c r="L12" s="282" t="s">
        <v>93</v>
      </c>
    </row>
    <row r="13" spans="1:12" ht="33" customHeight="1">
      <c r="B13" s="102">
        <f t="shared" si="1"/>
        <v>41</v>
      </c>
      <c r="C13" s="112">
        <f t="shared" si="2"/>
        <v>45936</v>
      </c>
      <c r="D13" s="113" t="s">
        <v>10</v>
      </c>
      <c r="E13" s="121">
        <f t="shared" si="0"/>
        <v>45940</v>
      </c>
      <c r="F13" s="131"/>
      <c r="G13" s="118"/>
      <c r="H13" s="223" t="s">
        <v>111</v>
      </c>
      <c r="I13" s="227" t="s">
        <v>110</v>
      </c>
      <c r="J13" s="164" t="s">
        <v>120</v>
      </c>
      <c r="K13" s="118"/>
    </row>
    <row r="14" spans="1:12" ht="38.25" customHeight="1">
      <c r="B14" s="100">
        <f t="shared" si="1"/>
        <v>42</v>
      </c>
      <c r="C14" s="110">
        <f t="shared" si="2"/>
        <v>45943</v>
      </c>
      <c r="D14" s="111" t="s">
        <v>10</v>
      </c>
      <c r="E14" s="122">
        <f>C14+4</f>
        <v>45947</v>
      </c>
      <c r="F14" s="116" t="s">
        <v>95</v>
      </c>
      <c r="G14" s="116" t="s">
        <v>95</v>
      </c>
      <c r="H14" s="116" t="s">
        <v>95</v>
      </c>
      <c r="I14" s="116" t="s">
        <v>95</v>
      </c>
      <c r="J14" s="116" t="s">
        <v>95</v>
      </c>
      <c r="K14" s="118"/>
    </row>
    <row r="15" spans="1:12" ht="31.5" customHeight="1">
      <c r="B15" s="101">
        <f t="shared" si="1"/>
        <v>43</v>
      </c>
      <c r="C15" s="81">
        <f>E14+3</f>
        <v>45950</v>
      </c>
      <c r="D15" s="82" t="s">
        <v>10</v>
      </c>
      <c r="E15" s="84">
        <f t="shared" si="0"/>
        <v>45954</v>
      </c>
      <c r="F15" s="186" t="s">
        <v>96</v>
      </c>
      <c r="G15" s="118"/>
      <c r="H15" s="286"/>
      <c r="I15" s="241" t="s">
        <v>117</v>
      </c>
      <c r="J15" s="242" t="s">
        <v>125</v>
      </c>
      <c r="K15" s="118"/>
    </row>
    <row r="16" spans="1:12" ht="39" customHeight="1">
      <c r="B16" s="101">
        <f t="shared" si="1"/>
        <v>44</v>
      </c>
      <c r="C16" s="81">
        <f t="shared" si="2"/>
        <v>45957</v>
      </c>
      <c r="D16" s="82" t="s">
        <v>10</v>
      </c>
      <c r="E16" s="84">
        <f t="shared" si="0"/>
        <v>45961</v>
      </c>
      <c r="F16" s="161" t="s">
        <v>124</v>
      </c>
      <c r="G16" s="155" t="s">
        <v>114</v>
      </c>
      <c r="H16" s="118"/>
      <c r="I16" s="162" t="s">
        <v>113</v>
      </c>
      <c r="J16" s="118"/>
      <c r="K16" s="128"/>
    </row>
    <row r="17" spans="2:11" ht="30.75" customHeight="1">
      <c r="B17" s="101">
        <f t="shared" si="1"/>
        <v>45</v>
      </c>
      <c r="C17" s="81">
        <f t="shared" si="2"/>
        <v>45964</v>
      </c>
      <c r="D17" s="83" t="s">
        <v>10</v>
      </c>
      <c r="E17" s="84">
        <f>C17+4</f>
        <v>45968</v>
      </c>
      <c r="F17" s="159" t="s">
        <v>116</v>
      </c>
      <c r="G17" s="291"/>
      <c r="H17" s="127"/>
      <c r="I17" s="217" t="s">
        <v>109</v>
      </c>
      <c r="J17" s="148" t="s">
        <v>126</v>
      </c>
      <c r="K17" s="156"/>
    </row>
    <row r="18" spans="2:11" ht="33" customHeight="1">
      <c r="B18" s="101">
        <f t="shared" si="1"/>
        <v>46</v>
      </c>
      <c r="C18" s="81">
        <f t="shared" si="2"/>
        <v>45971</v>
      </c>
      <c r="D18" s="83" t="s">
        <v>10</v>
      </c>
      <c r="E18" s="84">
        <f t="shared" si="0"/>
        <v>45975</v>
      </c>
      <c r="F18" s="251"/>
      <c r="G18" s="224" t="s">
        <v>112</v>
      </c>
      <c r="H18" s="227" t="s">
        <v>108</v>
      </c>
      <c r="I18" s="140"/>
      <c r="J18" s="156" t="s">
        <v>89</v>
      </c>
      <c r="K18" s="125" t="s">
        <v>97</v>
      </c>
    </row>
    <row r="19" spans="2:11" ht="35.25" customHeight="1">
      <c r="B19" s="101">
        <f t="shared" si="1"/>
        <v>47</v>
      </c>
      <c r="C19" s="81">
        <f>E18+3</f>
        <v>45978</v>
      </c>
      <c r="D19" s="83" t="s">
        <v>10</v>
      </c>
      <c r="E19" s="84">
        <f>C19+4</f>
        <v>45982</v>
      </c>
      <c r="F19" s="118"/>
      <c r="G19" s="147" t="s">
        <v>101</v>
      </c>
      <c r="H19" s="140"/>
      <c r="I19" s="116" t="s">
        <v>95</v>
      </c>
      <c r="J19" s="116" t="s">
        <v>95</v>
      </c>
      <c r="K19" s="128"/>
    </row>
    <row r="20" spans="2:11" ht="18">
      <c r="B20" s="101">
        <f t="shared" si="1"/>
        <v>48</v>
      </c>
      <c r="C20" s="81">
        <f t="shared" si="2"/>
        <v>45985</v>
      </c>
      <c r="D20" s="83" t="s">
        <v>10</v>
      </c>
      <c r="E20" s="84">
        <f t="shared" si="0"/>
        <v>45989</v>
      </c>
      <c r="F20" s="118"/>
      <c r="G20" s="133"/>
      <c r="H20" s="125" t="s">
        <v>122</v>
      </c>
      <c r="I20" s="132"/>
      <c r="J20" s="135"/>
      <c r="K20" s="128"/>
    </row>
    <row r="21" spans="2:11" ht="33" customHeight="1">
      <c r="B21" s="101">
        <f t="shared" si="1"/>
        <v>49</v>
      </c>
      <c r="C21" s="81">
        <f t="shared" si="2"/>
        <v>45992</v>
      </c>
      <c r="D21" s="83" t="s">
        <v>10</v>
      </c>
      <c r="E21" s="84">
        <f>C21+4</f>
        <v>45996</v>
      </c>
      <c r="F21" s="118"/>
      <c r="G21" s="118"/>
      <c r="H21" s="118"/>
      <c r="I21" s="118"/>
      <c r="J21" s="118"/>
      <c r="K21" s="118"/>
    </row>
    <row r="22" spans="2:11" ht="46.5" customHeight="1">
      <c r="B22" s="101">
        <f t="shared" si="1"/>
        <v>50</v>
      </c>
      <c r="C22" s="81">
        <f t="shared" si="2"/>
        <v>45999</v>
      </c>
      <c r="D22" s="83" t="s">
        <v>10</v>
      </c>
      <c r="E22" s="84">
        <f t="shared" si="0"/>
        <v>46003</v>
      </c>
      <c r="F22" s="136"/>
      <c r="G22" s="118"/>
      <c r="H22" s="128"/>
      <c r="I22" s="124"/>
      <c r="J22" s="118" t="s">
        <v>102</v>
      </c>
      <c r="K22" s="118" t="s">
        <v>102</v>
      </c>
    </row>
    <row r="23" spans="2:11" ht="15" customHeight="1">
      <c r="B23" s="101">
        <f t="shared" si="1"/>
        <v>51</v>
      </c>
      <c r="C23" s="81">
        <f t="shared" si="2"/>
        <v>46006</v>
      </c>
      <c r="D23" s="141" t="s">
        <v>10</v>
      </c>
      <c r="E23" s="84">
        <f t="shared" si="0"/>
        <v>46010</v>
      </c>
      <c r="F23" s="136"/>
      <c r="G23" s="118"/>
      <c r="H23" s="128"/>
      <c r="I23" s="118" t="s">
        <v>103</v>
      </c>
      <c r="J23" s="142"/>
      <c r="K23" s="143"/>
    </row>
  </sheetData>
  <mergeCells count="2">
    <mergeCell ref="E1:G1"/>
    <mergeCell ref="C2:E2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926A-319A-C244-8A85-1D5952FE54DC}">
  <sheetPr>
    <pageSetUpPr fitToPage="1"/>
  </sheetPr>
  <dimension ref="B1:L27"/>
  <sheetViews>
    <sheetView topLeftCell="A16" zoomScale="115" zoomScaleNormal="115" zoomScaleSheetLayoutView="310" workbookViewId="0">
      <selection activeCell="J20" sqref="J20"/>
    </sheetView>
  </sheetViews>
  <sheetFormatPr defaultColWidth="13.33203125" defaultRowHeight="25.5"/>
  <cols>
    <col min="1" max="1" width="2.6640625" customWidth="1"/>
    <col min="2" max="2" width="4.5546875" style="2" customWidth="1"/>
    <col min="3" max="3" width="8.88671875" style="3" customWidth="1"/>
    <col min="4" max="4" width="1.5546875" style="3" customWidth="1"/>
    <col min="5" max="5" width="8.44140625" style="3" customWidth="1"/>
    <col min="6" max="6" width="10.88671875" customWidth="1"/>
    <col min="7" max="7" width="11.109375" customWidth="1"/>
    <col min="8" max="8" width="12.109375" customWidth="1"/>
    <col min="9" max="9" width="11.77734375" customWidth="1"/>
    <col min="10" max="10" width="12" customWidth="1"/>
    <col min="11" max="11" width="8.88671875"/>
    <col min="12" max="12" width="11.109375" customWidth="1"/>
  </cols>
  <sheetData>
    <row r="1" spans="2:12" ht="41.25" customHeight="1">
      <c r="C1" s="77"/>
      <c r="D1" s="77"/>
      <c r="E1" s="304" t="s">
        <v>127</v>
      </c>
      <c r="F1" s="304"/>
      <c r="G1" s="304"/>
    </row>
    <row r="2" spans="2:12" s="19" customFormat="1" ht="54" customHeight="1">
      <c r="B2" s="104" t="s">
        <v>2</v>
      </c>
      <c r="C2" s="305" t="s">
        <v>3</v>
      </c>
      <c r="D2" s="306"/>
      <c r="E2" s="307"/>
      <c r="F2" s="78" t="s">
        <v>4</v>
      </c>
      <c r="G2" s="79" t="s">
        <v>5</v>
      </c>
      <c r="H2" s="79" t="s">
        <v>6</v>
      </c>
      <c r="I2" s="73" t="s">
        <v>7</v>
      </c>
      <c r="J2" s="80" t="s">
        <v>8</v>
      </c>
      <c r="K2" s="123" t="s">
        <v>78</v>
      </c>
    </row>
    <row r="3" spans="2:12" ht="34.5" customHeight="1">
      <c r="B3" s="100">
        <v>31</v>
      </c>
      <c r="C3" s="81">
        <v>45866</v>
      </c>
      <c r="D3" s="82" t="s">
        <v>10</v>
      </c>
      <c r="E3" s="84">
        <f>C3+4</f>
        <v>45870</v>
      </c>
      <c r="F3" s="124"/>
      <c r="G3" s="124"/>
      <c r="H3" s="118"/>
      <c r="I3" s="118"/>
      <c r="J3" s="118"/>
      <c r="K3" s="118"/>
    </row>
    <row r="4" spans="2:12" ht="33.75" customHeight="1">
      <c r="B4" s="101">
        <f>B3+1</f>
        <v>32</v>
      </c>
      <c r="C4" s="81">
        <f>E3+3</f>
        <v>45873</v>
      </c>
      <c r="D4" s="82" t="s">
        <v>10</v>
      </c>
      <c r="E4" s="84">
        <f t="shared" ref="E4:E23" si="0">C4+4</f>
        <v>45877</v>
      </c>
      <c r="F4" s="118"/>
      <c r="G4" s="118"/>
      <c r="H4" s="118"/>
      <c r="I4" s="118"/>
      <c r="J4" s="143"/>
      <c r="K4" s="118"/>
    </row>
    <row r="5" spans="2:12" ht="20.25" customHeight="1">
      <c r="B5" s="101">
        <f t="shared" ref="B5:B23" si="1">B4+1</f>
        <v>33</v>
      </c>
      <c r="C5" s="81">
        <f t="shared" ref="C5:C23" si="2">E4+3</f>
        <v>45880</v>
      </c>
      <c r="D5" s="82" t="s">
        <v>10</v>
      </c>
      <c r="E5" s="84">
        <f t="shared" si="0"/>
        <v>45884</v>
      </c>
      <c r="F5" s="118"/>
      <c r="G5" s="118"/>
      <c r="H5" s="118"/>
      <c r="I5" s="118"/>
      <c r="J5" s="118"/>
      <c r="K5" s="118"/>
    </row>
    <row r="6" spans="2:12" ht="25.5" customHeight="1">
      <c r="B6" s="101">
        <f t="shared" si="1"/>
        <v>34</v>
      </c>
      <c r="C6" s="81">
        <f>E5+3</f>
        <v>45887</v>
      </c>
      <c r="D6" s="82" t="s">
        <v>10</v>
      </c>
      <c r="E6" s="84">
        <f t="shared" si="0"/>
        <v>45891</v>
      </c>
      <c r="F6" s="144"/>
      <c r="G6" s="138" t="s">
        <v>128</v>
      </c>
      <c r="H6" s="173" t="s">
        <v>128</v>
      </c>
      <c r="I6" s="139" t="s">
        <v>128</v>
      </c>
      <c r="J6" s="138" t="s">
        <v>128</v>
      </c>
      <c r="K6" s="118"/>
    </row>
    <row r="7" spans="2:12" ht="32.25" customHeight="1">
      <c r="B7" s="101">
        <f t="shared" si="1"/>
        <v>35</v>
      </c>
      <c r="C7" s="81">
        <f>E6+3</f>
        <v>45894</v>
      </c>
      <c r="D7" s="82" t="s">
        <v>10</v>
      </c>
      <c r="E7" s="84">
        <f t="shared" si="0"/>
        <v>45898</v>
      </c>
      <c r="F7" s="124"/>
      <c r="H7" s="265" t="s">
        <v>129</v>
      </c>
      <c r="I7" s="175" t="s">
        <v>130</v>
      </c>
      <c r="J7" s="229" t="s">
        <v>131</v>
      </c>
      <c r="K7" s="118"/>
    </row>
    <row r="8" spans="2:12" ht="36.75" customHeight="1">
      <c r="B8" s="101">
        <f t="shared" si="1"/>
        <v>36</v>
      </c>
      <c r="C8" s="81">
        <f t="shared" si="2"/>
        <v>45901</v>
      </c>
      <c r="D8" s="82" t="s">
        <v>10</v>
      </c>
      <c r="E8" s="84">
        <f>C8+4</f>
        <v>45905</v>
      </c>
      <c r="F8" s="164" t="s">
        <v>84</v>
      </c>
      <c r="G8" s="264"/>
      <c r="I8" s="253" t="s">
        <v>132</v>
      </c>
      <c r="J8" s="174" t="s">
        <v>115</v>
      </c>
      <c r="K8" s="118"/>
    </row>
    <row r="9" spans="2:12" ht="39.75" customHeight="1">
      <c r="B9" s="101">
        <f t="shared" si="1"/>
        <v>37</v>
      </c>
      <c r="C9" s="81">
        <f>E8+3</f>
        <v>45908</v>
      </c>
      <c r="D9" s="82" t="s">
        <v>10</v>
      </c>
      <c r="E9" s="84">
        <f t="shared" si="0"/>
        <v>45912</v>
      </c>
      <c r="F9" s="228" t="s">
        <v>133</v>
      </c>
      <c r="G9" s="254" t="s">
        <v>134</v>
      </c>
      <c r="H9" s="171" t="s">
        <v>135</v>
      </c>
      <c r="I9" s="176"/>
      <c r="J9" s="151"/>
      <c r="K9" s="148" t="s">
        <v>89</v>
      </c>
    </row>
    <row r="10" spans="2:12" ht="44.25" customHeight="1">
      <c r="B10" s="101">
        <f t="shared" si="1"/>
        <v>38</v>
      </c>
      <c r="C10" s="81">
        <f t="shared" si="2"/>
        <v>45915</v>
      </c>
      <c r="D10" s="82" t="s">
        <v>10</v>
      </c>
      <c r="E10" s="84">
        <f t="shared" si="0"/>
        <v>45919</v>
      </c>
      <c r="F10" s="148" t="s">
        <v>136</v>
      </c>
      <c r="G10" s="149" t="s">
        <v>90</v>
      </c>
      <c r="H10" s="126"/>
      <c r="I10" s="126"/>
      <c r="J10" s="118"/>
      <c r="K10" s="144"/>
    </row>
    <row r="11" spans="2:12" ht="36" customHeight="1">
      <c r="B11" s="101">
        <f t="shared" si="1"/>
        <v>39</v>
      </c>
      <c r="C11" s="81">
        <f t="shared" si="2"/>
        <v>45922</v>
      </c>
      <c r="D11" s="82" t="s">
        <v>10</v>
      </c>
      <c r="E11" s="84">
        <f>C11+4</f>
        <v>45926</v>
      </c>
      <c r="F11" s="119" t="s">
        <v>91</v>
      </c>
      <c r="G11" s="153"/>
      <c r="H11" s="126"/>
      <c r="I11" s="146" t="s">
        <v>137</v>
      </c>
      <c r="J11" s="146" t="s">
        <v>137</v>
      </c>
      <c r="K11" s="118"/>
    </row>
    <row r="12" spans="2:12" ht="37.5" customHeight="1">
      <c r="B12" s="101">
        <f t="shared" si="1"/>
        <v>40</v>
      </c>
      <c r="C12" s="81">
        <f>E11+3</f>
        <v>45929</v>
      </c>
      <c r="D12" s="82" t="s">
        <v>10</v>
      </c>
      <c r="E12" s="84">
        <f t="shared" si="0"/>
        <v>45933</v>
      </c>
      <c r="F12" s="118"/>
      <c r="H12" s="128"/>
      <c r="I12" s="129"/>
      <c r="J12" s="130"/>
      <c r="K12" s="145" t="s">
        <v>92</v>
      </c>
      <c r="L12" s="282" t="s">
        <v>93</v>
      </c>
    </row>
    <row r="13" spans="2:12" ht="37.5" customHeight="1">
      <c r="B13" s="102">
        <f t="shared" si="1"/>
        <v>41</v>
      </c>
      <c r="C13" s="112">
        <f t="shared" si="2"/>
        <v>45936</v>
      </c>
      <c r="D13" s="113" t="s">
        <v>10</v>
      </c>
      <c r="E13" s="121">
        <f t="shared" si="0"/>
        <v>45940</v>
      </c>
      <c r="F13" s="131"/>
      <c r="G13" s="118"/>
      <c r="H13" s="130"/>
      <c r="I13" s="118"/>
      <c r="J13" s="124" t="s">
        <v>121</v>
      </c>
      <c r="K13" s="118"/>
    </row>
    <row r="14" spans="2:12" ht="36.75" customHeight="1">
      <c r="B14" s="100">
        <f t="shared" si="1"/>
        <v>42</v>
      </c>
      <c r="C14" s="110">
        <f t="shared" si="2"/>
        <v>45943</v>
      </c>
      <c r="D14" s="111" t="s">
        <v>10</v>
      </c>
      <c r="E14" s="122">
        <f>C14+4</f>
        <v>45947</v>
      </c>
      <c r="F14" s="116" t="s">
        <v>95</v>
      </c>
      <c r="G14" s="116" t="s">
        <v>95</v>
      </c>
      <c r="H14" s="116" t="s">
        <v>95</v>
      </c>
      <c r="I14" s="116" t="s">
        <v>95</v>
      </c>
      <c r="J14" s="116" t="s">
        <v>95</v>
      </c>
      <c r="K14" s="118"/>
    </row>
    <row r="15" spans="2:12" ht="27" customHeight="1">
      <c r="B15" s="101">
        <f t="shared" si="1"/>
        <v>43</v>
      </c>
      <c r="C15" s="81">
        <f>E14+3</f>
        <v>45950</v>
      </c>
      <c r="D15" s="82" t="s">
        <v>10</v>
      </c>
      <c r="E15" s="84">
        <f t="shared" si="0"/>
        <v>45954</v>
      </c>
      <c r="F15" s="186" t="s">
        <v>96</v>
      </c>
      <c r="G15" s="118"/>
      <c r="H15" s="132"/>
      <c r="I15" s="124"/>
      <c r="J15" s="124"/>
      <c r="K15" s="118" t="s">
        <v>138</v>
      </c>
    </row>
    <row r="16" spans="2:12" ht="30" customHeight="1">
      <c r="B16" s="101">
        <f t="shared" si="1"/>
        <v>44</v>
      </c>
      <c r="C16" s="81">
        <f t="shared" si="2"/>
        <v>45957</v>
      </c>
      <c r="D16" s="82" t="s">
        <v>10</v>
      </c>
      <c r="E16" s="84">
        <f t="shared" si="0"/>
        <v>45961</v>
      </c>
      <c r="F16" s="133"/>
      <c r="G16" s="127"/>
      <c r="H16" s="118"/>
      <c r="I16" s="158" t="s">
        <v>139</v>
      </c>
      <c r="J16" s="160" t="s">
        <v>115</v>
      </c>
      <c r="K16" s="128"/>
    </row>
    <row r="17" spans="2:12" ht="34.5" customHeight="1">
      <c r="B17" s="101">
        <f t="shared" si="1"/>
        <v>45</v>
      </c>
      <c r="C17" s="81">
        <f t="shared" si="2"/>
        <v>45964</v>
      </c>
      <c r="D17" s="83" t="s">
        <v>10</v>
      </c>
      <c r="E17" s="84">
        <f>C17+4</f>
        <v>45968</v>
      </c>
      <c r="F17" s="120"/>
      <c r="G17" s="146" t="s">
        <v>140</v>
      </c>
      <c r="H17" s="146" t="s">
        <v>140</v>
      </c>
      <c r="I17" s="120"/>
      <c r="J17" s="120"/>
      <c r="K17" s="288"/>
      <c r="L17" s="287" t="s">
        <v>141</v>
      </c>
    </row>
    <row r="18" spans="2:12" ht="34.5" customHeight="1">
      <c r="B18" s="101">
        <f t="shared" si="1"/>
        <v>46</v>
      </c>
      <c r="C18" s="81">
        <f t="shared" si="2"/>
        <v>45971</v>
      </c>
      <c r="D18" s="83" t="s">
        <v>10</v>
      </c>
      <c r="E18" s="84">
        <f t="shared" si="0"/>
        <v>45975</v>
      </c>
      <c r="F18" s="251"/>
      <c r="G18" s="148" t="s">
        <v>85</v>
      </c>
      <c r="H18" s="166" t="s">
        <v>84</v>
      </c>
      <c r="I18" s="140"/>
      <c r="J18" s="234" t="s">
        <v>129</v>
      </c>
      <c r="K18" s="289" t="s">
        <v>97</v>
      </c>
      <c r="L18" s="287" t="s">
        <v>141</v>
      </c>
    </row>
    <row r="19" spans="2:12" ht="42.75" customHeight="1">
      <c r="B19" s="101">
        <f t="shared" si="1"/>
        <v>47</v>
      </c>
      <c r="C19" s="81">
        <f>E18+3</f>
        <v>45978</v>
      </c>
      <c r="D19" s="83" t="s">
        <v>10</v>
      </c>
      <c r="E19" s="84">
        <f>C19+4</f>
        <v>45982</v>
      </c>
      <c r="F19" s="118"/>
      <c r="G19" s="163" t="s">
        <v>132</v>
      </c>
      <c r="H19" s="254" t="s">
        <v>134</v>
      </c>
      <c r="I19" s="116" t="s">
        <v>95</v>
      </c>
      <c r="J19" s="116" t="s">
        <v>95</v>
      </c>
      <c r="K19" s="128"/>
    </row>
    <row r="20" spans="2:12" ht="39.75" customHeight="1">
      <c r="B20" s="101">
        <f t="shared" si="1"/>
        <v>48</v>
      </c>
      <c r="C20" s="81">
        <f t="shared" si="2"/>
        <v>45985</v>
      </c>
      <c r="D20" s="83" t="s">
        <v>10</v>
      </c>
      <c r="E20" s="84">
        <f t="shared" si="0"/>
        <v>45989</v>
      </c>
      <c r="F20" s="227" t="s">
        <v>133</v>
      </c>
      <c r="G20" s="133"/>
      <c r="H20" s="171" t="s">
        <v>135</v>
      </c>
      <c r="I20" s="132"/>
      <c r="J20" s="230" t="s">
        <v>131</v>
      </c>
      <c r="K20" s="148" t="s">
        <v>89</v>
      </c>
    </row>
    <row r="21" spans="2:12" ht="32.25" customHeight="1">
      <c r="B21" s="101">
        <f t="shared" si="1"/>
        <v>49</v>
      </c>
      <c r="C21" s="81">
        <f t="shared" si="2"/>
        <v>45992</v>
      </c>
      <c r="D21" s="83" t="s">
        <v>10</v>
      </c>
      <c r="E21" s="84">
        <f>C21+4</f>
        <v>45996</v>
      </c>
      <c r="F21" s="150"/>
      <c r="G21" s="118"/>
      <c r="H21" s="118"/>
      <c r="I21" s="118"/>
      <c r="J21" s="118"/>
      <c r="K21" s="118"/>
    </row>
    <row r="22" spans="2:12" ht="36.75" customHeight="1">
      <c r="B22" s="101">
        <f t="shared" si="1"/>
        <v>50</v>
      </c>
      <c r="C22" s="81">
        <f t="shared" si="2"/>
        <v>45999</v>
      </c>
      <c r="D22" s="83" t="s">
        <v>10</v>
      </c>
      <c r="E22" s="84">
        <f t="shared" si="0"/>
        <v>46003</v>
      </c>
      <c r="F22" s="311" t="s">
        <v>142</v>
      </c>
      <c r="G22" s="147" t="s">
        <v>101</v>
      </c>
      <c r="H22" s="311" t="s">
        <v>142</v>
      </c>
      <c r="I22" s="124"/>
      <c r="J22" s="118" t="s">
        <v>102</v>
      </c>
      <c r="K22" s="118" t="s">
        <v>102</v>
      </c>
    </row>
    <row r="23" spans="2:12" ht="18">
      <c r="B23" s="101">
        <f t="shared" si="1"/>
        <v>51</v>
      </c>
      <c r="C23" s="81">
        <f t="shared" si="2"/>
        <v>46006</v>
      </c>
      <c r="D23" s="141" t="s">
        <v>10</v>
      </c>
      <c r="E23" s="84">
        <f t="shared" si="0"/>
        <v>46010</v>
      </c>
      <c r="F23" s="136"/>
      <c r="G23" s="118"/>
      <c r="H23" s="128"/>
      <c r="I23" s="118" t="s">
        <v>103</v>
      </c>
      <c r="J23" s="142"/>
      <c r="K23" s="143"/>
    </row>
    <row r="24" spans="2:12" ht="15">
      <c r="B24"/>
      <c r="C24"/>
      <c r="D24"/>
      <c r="E24"/>
    </row>
    <row r="25" spans="2:12">
      <c r="C25" s="77"/>
      <c r="D25" s="77"/>
      <c r="E25" s="257" t="s">
        <v>143</v>
      </c>
      <c r="F25" s="256" t="s">
        <v>144</v>
      </c>
    </row>
    <row r="26" spans="2:12">
      <c r="C26" s="77"/>
      <c r="D26" s="77"/>
      <c r="E26" s="77"/>
    </row>
    <row r="27" spans="2:12">
      <c r="C27" s="77"/>
      <c r="D27" s="77"/>
      <c r="E27" s="77"/>
    </row>
  </sheetData>
  <mergeCells count="2">
    <mergeCell ref="C2:E2"/>
    <mergeCell ref="E1:G1"/>
  </mergeCells>
  <pageMargins left="0.7" right="0.7" top="0.78740157499999996" bottom="0.78740157499999996" header="0.3" footer="0.3"/>
  <pageSetup paperSize="9" scale="7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3757-5060-4BFC-A142-2FA4D645FCE0}">
  <sheetPr>
    <pageSetUpPr fitToPage="1"/>
  </sheetPr>
  <dimension ref="B1:L27"/>
  <sheetViews>
    <sheetView topLeftCell="A16" zoomScaleNormal="100" zoomScaleSheetLayoutView="310" workbookViewId="0">
      <selection activeCell="G28" sqref="G28"/>
    </sheetView>
  </sheetViews>
  <sheetFormatPr defaultColWidth="13.33203125" defaultRowHeight="25.5"/>
  <cols>
    <col min="1" max="1" width="2.6640625" customWidth="1"/>
    <col min="2" max="2" width="4.5546875" style="2" customWidth="1"/>
    <col min="3" max="3" width="8.88671875" style="3" customWidth="1"/>
    <col min="4" max="4" width="1.5546875" style="3" customWidth="1"/>
    <col min="5" max="5" width="8.44140625" style="3" customWidth="1"/>
    <col min="6" max="6" width="11.6640625" customWidth="1"/>
    <col min="7" max="7" width="12" customWidth="1"/>
    <col min="8" max="8" width="12.109375" customWidth="1"/>
    <col min="9" max="9" width="11.77734375" customWidth="1"/>
    <col min="10" max="10" width="12" customWidth="1"/>
    <col min="11" max="11" width="8.88671875"/>
    <col min="12" max="12" width="10.33203125" customWidth="1"/>
  </cols>
  <sheetData>
    <row r="1" spans="2:12" ht="30.75" customHeight="1">
      <c r="C1" s="77"/>
      <c r="D1" s="77"/>
      <c r="E1" s="304" t="s">
        <v>145</v>
      </c>
      <c r="F1" s="304"/>
      <c r="G1" s="304"/>
    </row>
    <row r="2" spans="2:12" s="19" customFormat="1" ht="54" customHeight="1">
      <c r="B2" s="104" t="s">
        <v>2</v>
      </c>
      <c r="C2" s="305" t="s">
        <v>3</v>
      </c>
      <c r="D2" s="306"/>
      <c r="E2" s="307"/>
      <c r="F2" s="78" t="s">
        <v>4</v>
      </c>
      <c r="G2" s="79" t="s">
        <v>5</v>
      </c>
      <c r="H2" s="79" t="s">
        <v>6</v>
      </c>
      <c r="I2" s="73" t="s">
        <v>7</v>
      </c>
      <c r="J2" s="80" t="s">
        <v>8</v>
      </c>
      <c r="K2" s="123" t="s">
        <v>78</v>
      </c>
    </row>
    <row r="3" spans="2:12" ht="31.5" customHeight="1">
      <c r="B3" s="100">
        <v>31</v>
      </c>
      <c r="C3" s="81">
        <v>45866</v>
      </c>
      <c r="D3" s="82" t="s">
        <v>10</v>
      </c>
      <c r="E3" s="84">
        <f>C3+4</f>
        <v>45870</v>
      </c>
      <c r="F3" s="124"/>
      <c r="G3" s="124"/>
      <c r="H3" s="118"/>
      <c r="I3" s="118"/>
      <c r="J3" s="118"/>
      <c r="K3" s="118"/>
    </row>
    <row r="4" spans="2:12" ht="35.25" customHeight="1">
      <c r="B4" s="101">
        <f>B3+1</f>
        <v>32</v>
      </c>
      <c r="C4" s="81">
        <f>E3+3</f>
        <v>45873</v>
      </c>
      <c r="D4" s="82" t="s">
        <v>10</v>
      </c>
      <c r="E4" s="84">
        <f t="shared" ref="E4:E23" si="0">C4+4</f>
        <v>45877</v>
      </c>
      <c r="F4" s="118"/>
      <c r="G4" s="118"/>
      <c r="H4" s="118"/>
      <c r="I4" s="118"/>
      <c r="J4" s="143"/>
      <c r="K4" s="118"/>
    </row>
    <row r="5" spans="2:12" ht="32.25" customHeight="1">
      <c r="B5" s="101">
        <f t="shared" ref="B5:B23" si="1">B4+1</f>
        <v>33</v>
      </c>
      <c r="C5" s="81">
        <f t="shared" ref="C5:C23" si="2">E4+3</f>
        <v>45880</v>
      </c>
      <c r="D5" s="82" t="s">
        <v>10</v>
      </c>
      <c r="E5" s="84">
        <f t="shared" si="0"/>
        <v>45884</v>
      </c>
      <c r="F5" s="118"/>
      <c r="G5" s="118"/>
      <c r="H5" s="118"/>
      <c r="I5" s="118"/>
      <c r="J5" s="118"/>
      <c r="K5" s="118"/>
    </row>
    <row r="6" spans="2:12" ht="22.5" customHeight="1">
      <c r="B6" s="101">
        <f t="shared" si="1"/>
        <v>34</v>
      </c>
      <c r="C6" s="81">
        <f>E5+3</f>
        <v>45887</v>
      </c>
      <c r="D6" s="82" t="s">
        <v>10</v>
      </c>
      <c r="E6" s="84">
        <f t="shared" si="0"/>
        <v>45891</v>
      </c>
      <c r="F6" s="144"/>
      <c r="G6" s="138" t="s">
        <v>128</v>
      </c>
      <c r="H6" s="138" t="s">
        <v>128</v>
      </c>
      <c r="I6" s="139" t="s">
        <v>128</v>
      </c>
      <c r="J6" s="138" t="s">
        <v>128</v>
      </c>
      <c r="K6" s="118"/>
    </row>
    <row r="7" spans="2:12" ht="30" customHeight="1">
      <c r="B7" s="101">
        <f t="shared" si="1"/>
        <v>35</v>
      </c>
      <c r="C7" s="81">
        <f>E6+3</f>
        <v>45894</v>
      </c>
      <c r="D7" s="82" t="s">
        <v>10</v>
      </c>
      <c r="E7" s="84">
        <f t="shared" si="0"/>
        <v>45898</v>
      </c>
      <c r="F7" s="124"/>
      <c r="G7" s="124"/>
      <c r="H7" s="266" t="s">
        <v>129</v>
      </c>
      <c r="I7" s="154" t="s">
        <v>146</v>
      </c>
      <c r="J7" s="229" t="s">
        <v>147</v>
      </c>
      <c r="K7" s="118"/>
    </row>
    <row r="8" spans="2:12" ht="35.25" customHeight="1">
      <c r="B8" s="101">
        <f t="shared" si="1"/>
        <v>36</v>
      </c>
      <c r="C8" s="81">
        <f t="shared" si="2"/>
        <v>45901</v>
      </c>
      <c r="D8" s="82" t="s">
        <v>10</v>
      </c>
      <c r="E8" s="84">
        <f>C8+4</f>
        <v>45905</v>
      </c>
      <c r="F8" s="164" t="s">
        <v>84</v>
      </c>
      <c r="G8" s="153"/>
      <c r="H8" s="118"/>
      <c r="I8" s="253" t="s">
        <v>132</v>
      </c>
      <c r="J8" s="160" t="s">
        <v>115</v>
      </c>
      <c r="K8" s="118"/>
    </row>
    <row r="9" spans="2:12" ht="39" customHeight="1">
      <c r="B9" s="101">
        <f t="shared" si="1"/>
        <v>37</v>
      </c>
      <c r="C9" s="81">
        <f>E8+3</f>
        <v>45908</v>
      </c>
      <c r="D9" s="82" t="s">
        <v>10</v>
      </c>
      <c r="E9" s="84">
        <f t="shared" si="0"/>
        <v>45912</v>
      </c>
      <c r="F9" s="228" t="s">
        <v>133</v>
      </c>
      <c r="G9" s="254" t="s">
        <v>134</v>
      </c>
      <c r="H9" s="171" t="s">
        <v>135</v>
      </c>
      <c r="I9" s="125"/>
      <c r="J9" s="151"/>
      <c r="K9" s="148" t="s">
        <v>89</v>
      </c>
    </row>
    <row r="10" spans="2:12" ht="43.5" customHeight="1">
      <c r="B10" s="101">
        <f t="shared" si="1"/>
        <v>38</v>
      </c>
      <c r="C10" s="81">
        <f t="shared" si="2"/>
        <v>45915</v>
      </c>
      <c r="D10" s="82" t="s">
        <v>10</v>
      </c>
      <c r="E10" s="84">
        <f t="shared" si="0"/>
        <v>45919</v>
      </c>
      <c r="F10" s="148" t="s">
        <v>85</v>
      </c>
      <c r="G10" s="149" t="s">
        <v>90</v>
      </c>
      <c r="H10" s="126"/>
      <c r="I10" s="126"/>
      <c r="J10" s="118"/>
      <c r="K10" s="118"/>
    </row>
    <row r="11" spans="2:12" ht="32.25" customHeight="1">
      <c r="B11" s="101">
        <f t="shared" si="1"/>
        <v>39</v>
      </c>
      <c r="C11" s="81">
        <f t="shared" si="2"/>
        <v>45922</v>
      </c>
      <c r="D11" s="82" t="s">
        <v>10</v>
      </c>
      <c r="E11" s="84">
        <f>C11+4</f>
        <v>45926</v>
      </c>
      <c r="F11" s="119" t="s">
        <v>91</v>
      </c>
      <c r="G11" s="163"/>
      <c r="H11" s="126"/>
      <c r="I11" s="146" t="s">
        <v>137</v>
      </c>
      <c r="J11" s="146" t="s">
        <v>137</v>
      </c>
      <c r="K11" s="118"/>
    </row>
    <row r="12" spans="2:12" ht="36.75" customHeight="1">
      <c r="B12" s="101">
        <f t="shared" si="1"/>
        <v>40</v>
      </c>
      <c r="C12" s="81">
        <f>E11+3</f>
        <v>45929</v>
      </c>
      <c r="D12" s="82" t="s">
        <v>10</v>
      </c>
      <c r="E12" s="84">
        <f t="shared" si="0"/>
        <v>45933</v>
      </c>
      <c r="F12" s="118"/>
      <c r="G12" s="118"/>
      <c r="H12" s="128"/>
      <c r="I12" s="129"/>
      <c r="J12" s="130"/>
      <c r="K12" s="145" t="s">
        <v>92</v>
      </c>
      <c r="L12" s="281" t="s">
        <v>93</v>
      </c>
    </row>
    <row r="13" spans="2:12" ht="36.75" customHeight="1">
      <c r="B13" s="102">
        <f t="shared" si="1"/>
        <v>41</v>
      </c>
      <c r="C13" s="112">
        <f t="shared" si="2"/>
        <v>45936</v>
      </c>
      <c r="D13" s="113" t="s">
        <v>10</v>
      </c>
      <c r="E13" s="121">
        <f t="shared" si="0"/>
        <v>45940</v>
      </c>
      <c r="F13" s="131"/>
      <c r="G13" s="118"/>
      <c r="H13" s="130"/>
      <c r="I13" s="118"/>
      <c r="J13" s="124" t="s">
        <v>121</v>
      </c>
      <c r="K13" s="118"/>
    </row>
    <row r="14" spans="2:12" ht="36.75" customHeight="1">
      <c r="B14" s="100">
        <f t="shared" si="1"/>
        <v>42</v>
      </c>
      <c r="C14" s="110">
        <f t="shared" si="2"/>
        <v>45943</v>
      </c>
      <c r="D14" s="111" t="s">
        <v>10</v>
      </c>
      <c r="E14" s="122">
        <f>C14+4</f>
        <v>45947</v>
      </c>
      <c r="F14" s="116" t="s">
        <v>95</v>
      </c>
      <c r="G14" s="116" t="s">
        <v>95</v>
      </c>
      <c r="H14" s="116" t="s">
        <v>95</v>
      </c>
      <c r="I14" s="116" t="s">
        <v>95</v>
      </c>
      <c r="J14" s="116" t="s">
        <v>95</v>
      </c>
      <c r="K14" s="118"/>
    </row>
    <row r="15" spans="2:12" ht="30.75" customHeight="1">
      <c r="B15" s="101">
        <f t="shared" si="1"/>
        <v>43</v>
      </c>
      <c r="C15" s="81">
        <f>E14+3</f>
        <v>45950</v>
      </c>
      <c r="D15" s="82" t="s">
        <v>10</v>
      </c>
      <c r="E15" s="84">
        <f t="shared" si="0"/>
        <v>45954</v>
      </c>
      <c r="F15" s="186" t="s">
        <v>96</v>
      </c>
      <c r="G15" s="118"/>
      <c r="H15" s="132"/>
      <c r="I15" s="124"/>
      <c r="J15" s="124"/>
      <c r="K15" s="118" t="s">
        <v>148</v>
      </c>
    </row>
    <row r="16" spans="2:12" ht="36.75" customHeight="1">
      <c r="B16" s="101">
        <f t="shared" si="1"/>
        <v>44</v>
      </c>
      <c r="C16" s="81">
        <f t="shared" si="2"/>
        <v>45957</v>
      </c>
      <c r="D16" s="82" t="s">
        <v>10</v>
      </c>
      <c r="E16" s="84">
        <f t="shared" si="0"/>
        <v>45961</v>
      </c>
      <c r="F16" s="133"/>
      <c r="G16" s="127"/>
      <c r="H16" s="118"/>
      <c r="I16" s="158" t="s">
        <v>146</v>
      </c>
      <c r="J16" s="160" t="s">
        <v>115</v>
      </c>
      <c r="K16" s="128"/>
    </row>
    <row r="17" spans="2:11" ht="34.5" customHeight="1">
      <c r="B17" s="101">
        <f t="shared" si="1"/>
        <v>45</v>
      </c>
      <c r="C17" s="81">
        <f t="shared" si="2"/>
        <v>45964</v>
      </c>
      <c r="D17" s="83" t="s">
        <v>10</v>
      </c>
      <c r="E17" s="84">
        <f>C17+4</f>
        <v>45968</v>
      </c>
      <c r="F17" s="120"/>
      <c r="G17" s="146" t="s">
        <v>140</v>
      </c>
      <c r="H17" s="146" t="s">
        <v>140</v>
      </c>
      <c r="I17" s="120"/>
      <c r="J17" s="120"/>
      <c r="K17" s="156"/>
    </row>
    <row r="18" spans="2:11" ht="33" customHeight="1">
      <c r="B18" s="101">
        <f t="shared" si="1"/>
        <v>46</v>
      </c>
      <c r="C18" s="81">
        <f t="shared" si="2"/>
        <v>45971</v>
      </c>
      <c r="D18" s="83" t="s">
        <v>10</v>
      </c>
      <c r="E18" s="84">
        <f t="shared" si="0"/>
        <v>45975</v>
      </c>
      <c r="F18" s="251"/>
      <c r="G18" s="148" t="s">
        <v>85</v>
      </c>
      <c r="H18" s="166" t="s">
        <v>84</v>
      </c>
      <c r="I18" s="140"/>
      <c r="J18" s="233" t="s">
        <v>129</v>
      </c>
      <c r="K18" s="125" t="s">
        <v>97</v>
      </c>
    </row>
    <row r="19" spans="2:11" ht="39.75" customHeight="1">
      <c r="B19" s="101">
        <f t="shared" si="1"/>
        <v>47</v>
      </c>
      <c r="C19" s="81">
        <f>E18+3</f>
        <v>45978</v>
      </c>
      <c r="D19" s="83" t="s">
        <v>10</v>
      </c>
      <c r="E19" s="84">
        <f>C19+4</f>
        <v>45982</v>
      </c>
      <c r="F19" s="118"/>
      <c r="G19" s="163" t="s">
        <v>132</v>
      </c>
      <c r="H19" s="254" t="s">
        <v>134</v>
      </c>
      <c r="I19" s="116" t="s">
        <v>95</v>
      </c>
      <c r="J19" s="116" t="s">
        <v>95</v>
      </c>
      <c r="K19" s="128"/>
    </row>
    <row r="20" spans="2:11" ht="55.5" customHeight="1">
      <c r="B20" s="101">
        <f t="shared" si="1"/>
        <v>48</v>
      </c>
      <c r="C20" s="81">
        <f t="shared" si="2"/>
        <v>45985</v>
      </c>
      <c r="D20" s="83" t="s">
        <v>10</v>
      </c>
      <c r="E20" s="84">
        <f t="shared" si="0"/>
        <v>45989</v>
      </c>
      <c r="F20" s="228" t="s">
        <v>133</v>
      </c>
      <c r="G20" s="133"/>
      <c r="I20" s="171" t="s">
        <v>135</v>
      </c>
      <c r="J20" s="135"/>
      <c r="K20" s="148" t="s">
        <v>89</v>
      </c>
    </row>
    <row r="21" spans="2:11" ht="36.75" customHeight="1">
      <c r="B21" s="101">
        <f t="shared" si="1"/>
        <v>49</v>
      </c>
      <c r="C21" s="81">
        <f t="shared" si="2"/>
        <v>45992</v>
      </c>
      <c r="D21" s="83" t="s">
        <v>10</v>
      </c>
      <c r="E21" s="84">
        <f>C21+4</f>
        <v>45996</v>
      </c>
      <c r="F21" s="118"/>
      <c r="G21" s="118"/>
      <c r="H21" s="118"/>
      <c r="I21" s="118"/>
      <c r="J21" s="118"/>
      <c r="K21" s="118"/>
    </row>
    <row r="22" spans="2:11" ht="36.75" customHeight="1">
      <c r="B22" s="101">
        <f t="shared" si="1"/>
        <v>50</v>
      </c>
      <c r="C22" s="81">
        <f t="shared" si="2"/>
        <v>45999</v>
      </c>
      <c r="D22" s="83" t="s">
        <v>10</v>
      </c>
      <c r="E22" s="84">
        <f t="shared" si="0"/>
        <v>46003</v>
      </c>
      <c r="F22" s="157" t="s">
        <v>142</v>
      </c>
      <c r="G22" s="147" t="s">
        <v>101</v>
      </c>
      <c r="H22" s="157" t="s">
        <v>142</v>
      </c>
      <c r="I22" s="118" t="s">
        <v>102</v>
      </c>
      <c r="J22" s="118" t="s">
        <v>102</v>
      </c>
      <c r="K22" s="118"/>
    </row>
    <row r="23" spans="2:11" ht="18">
      <c r="B23" s="101">
        <f t="shared" si="1"/>
        <v>51</v>
      </c>
      <c r="C23" s="81">
        <f t="shared" si="2"/>
        <v>46006</v>
      </c>
      <c r="D23" s="141" t="s">
        <v>10</v>
      </c>
      <c r="E23" s="84">
        <f t="shared" si="0"/>
        <v>46010</v>
      </c>
      <c r="F23" s="136"/>
      <c r="G23" s="118"/>
      <c r="H23" s="128"/>
      <c r="I23" s="118" t="s">
        <v>103</v>
      </c>
      <c r="J23" s="142"/>
      <c r="K23" s="143"/>
    </row>
    <row r="24" spans="2:11">
      <c r="C24" s="77"/>
      <c r="D24" s="77"/>
      <c r="E24" s="77"/>
    </row>
    <row r="25" spans="2:11">
      <c r="C25" s="77"/>
      <c r="D25" s="77"/>
      <c r="E25" s="257" t="s">
        <v>143</v>
      </c>
      <c r="F25" s="256" t="s">
        <v>144</v>
      </c>
    </row>
    <row r="26" spans="2:11">
      <c r="C26" s="77"/>
      <c r="D26" s="77"/>
      <c r="E26" s="77"/>
    </row>
    <row r="27" spans="2:11">
      <c r="C27" s="77"/>
      <c r="D27" s="77"/>
      <c r="E27" s="77"/>
    </row>
  </sheetData>
  <mergeCells count="2">
    <mergeCell ref="E1:G1"/>
    <mergeCell ref="C2:E2"/>
  </mergeCells>
  <pageMargins left="0.7" right="0.7" top="0.78740157499999996" bottom="0.78740157499999996" header="0.3" footer="0.3"/>
  <pageSetup paperSize="9" scale="7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7553C-56C4-44B7-95EE-C370D311E079}">
  <sheetPr>
    <pageSetUpPr fitToPage="1"/>
  </sheetPr>
  <dimension ref="A1:K23"/>
  <sheetViews>
    <sheetView topLeftCell="A10" workbookViewId="0">
      <selection activeCell="F18" sqref="F18"/>
    </sheetView>
  </sheetViews>
  <sheetFormatPr defaultRowHeight="15"/>
  <cols>
    <col min="1" max="1" width="4.44140625" customWidth="1"/>
    <col min="2" max="2" width="11.44140625" customWidth="1"/>
    <col min="3" max="3" width="1.109375" customWidth="1"/>
    <col min="5" max="5" width="11.109375" customWidth="1"/>
    <col min="6" max="6" width="12" customWidth="1"/>
    <col min="7" max="7" width="11" customWidth="1"/>
    <col min="8" max="8" width="11.44140625" customWidth="1"/>
    <col min="9" max="9" width="12.44140625" customWidth="1"/>
    <col min="10" max="10" width="11.77734375" style="108" customWidth="1"/>
    <col min="11" max="11" width="11.5546875" customWidth="1"/>
  </cols>
  <sheetData>
    <row r="1" spans="1:11" ht="25.5">
      <c r="A1" s="2"/>
      <c r="B1" s="77"/>
      <c r="C1" s="77"/>
      <c r="D1" s="117" t="s">
        <v>149</v>
      </c>
      <c r="E1" s="117"/>
      <c r="F1" s="117"/>
    </row>
    <row r="2" spans="1:11" ht="44.45" customHeight="1">
      <c r="A2" s="104" t="s">
        <v>2</v>
      </c>
      <c r="B2" s="305" t="s">
        <v>3</v>
      </c>
      <c r="C2" s="306"/>
      <c r="D2" s="307"/>
      <c r="E2" s="78" t="s">
        <v>4</v>
      </c>
      <c r="F2" s="79" t="s">
        <v>5</v>
      </c>
      <c r="G2" s="79" t="s">
        <v>6</v>
      </c>
      <c r="H2" s="73" t="s">
        <v>7</v>
      </c>
      <c r="I2" s="80" t="s">
        <v>8</v>
      </c>
      <c r="J2" s="270" t="s">
        <v>78</v>
      </c>
      <c r="K2" s="271" t="s">
        <v>150</v>
      </c>
    </row>
    <row r="3" spans="1:11" ht="30" customHeight="1">
      <c r="A3" s="100">
        <v>31</v>
      </c>
      <c r="B3" s="81">
        <v>45866</v>
      </c>
      <c r="C3" s="82" t="s">
        <v>10</v>
      </c>
      <c r="D3" s="84">
        <f>B3+4</f>
        <v>45870</v>
      </c>
      <c r="E3" s="124"/>
      <c r="F3" s="124"/>
      <c r="G3" s="118"/>
      <c r="H3" s="118"/>
      <c r="I3" s="118"/>
      <c r="J3" s="272"/>
      <c r="K3" s="273"/>
    </row>
    <row r="4" spans="1:11" ht="30" customHeight="1">
      <c r="A4" s="101">
        <f>A3+1</f>
        <v>32</v>
      </c>
      <c r="B4" s="81">
        <f>D3+3</f>
        <v>45873</v>
      </c>
      <c r="C4" s="82" t="s">
        <v>10</v>
      </c>
      <c r="D4" s="84">
        <f t="shared" ref="D4:D23" si="0">B4+4</f>
        <v>45877</v>
      </c>
      <c r="E4" s="118"/>
      <c r="F4" s="118"/>
      <c r="G4" s="118"/>
      <c r="H4" s="118"/>
      <c r="I4" s="143"/>
      <c r="J4" s="272"/>
      <c r="K4" s="273"/>
    </row>
    <row r="5" spans="1:11" ht="35.25" customHeight="1">
      <c r="A5" s="101">
        <f t="shared" ref="A5:A23" si="1">A4+1</f>
        <v>33</v>
      </c>
      <c r="B5" s="81">
        <f t="shared" ref="B5:B23" si="2">D4+3</f>
        <v>45880</v>
      </c>
      <c r="C5" s="82" t="s">
        <v>10</v>
      </c>
      <c r="D5" s="84">
        <f t="shared" si="0"/>
        <v>45884</v>
      </c>
      <c r="E5" s="170" t="s">
        <v>151</v>
      </c>
      <c r="F5" s="118"/>
      <c r="G5" s="118"/>
      <c r="H5" s="118"/>
      <c r="I5" s="118"/>
      <c r="J5" s="272"/>
      <c r="K5" s="273"/>
    </row>
    <row r="6" spans="1:11" ht="30" customHeight="1">
      <c r="A6" s="101">
        <f t="shared" si="1"/>
        <v>34</v>
      </c>
      <c r="B6" s="81">
        <f>D5+3</f>
        <v>45887</v>
      </c>
      <c r="C6" s="82" t="s">
        <v>10</v>
      </c>
      <c r="D6" s="84">
        <f t="shared" si="0"/>
        <v>45891</v>
      </c>
      <c r="E6" s="118"/>
      <c r="F6" s="118"/>
      <c r="G6" s="138" t="s">
        <v>152</v>
      </c>
      <c r="H6" s="119"/>
      <c r="I6" s="118"/>
      <c r="J6" s="272"/>
      <c r="K6" s="273"/>
    </row>
    <row r="7" spans="1:11" ht="35.25" customHeight="1">
      <c r="A7" s="101">
        <f t="shared" si="1"/>
        <v>35</v>
      </c>
      <c r="B7" s="81">
        <f>D6+3</f>
        <v>45894</v>
      </c>
      <c r="C7" s="82" t="s">
        <v>10</v>
      </c>
      <c r="D7" s="84">
        <f t="shared" si="0"/>
        <v>45898</v>
      </c>
      <c r="E7" s="124"/>
      <c r="F7" s="252" t="s">
        <v>134</v>
      </c>
      <c r="G7" s="155" t="s">
        <v>153</v>
      </c>
      <c r="H7" s="250"/>
      <c r="I7" s="124"/>
      <c r="J7" s="272"/>
      <c r="K7" s="273"/>
    </row>
    <row r="8" spans="1:11" ht="30" customHeight="1">
      <c r="A8" s="101">
        <f t="shared" si="1"/>
        <v>36</v>
      </c>
      <c r="B8" s="81">
        <f t="shared" si="2"/>
        <v>45901</v>
      </c>
      <c r="C8" s="82" t="s">
        <v>10</v>
      </c>
      <c r="D8" s="84">
        <f>B8+4</f>
        <v>45905</v>
      </c>
      <c r="E8" s="167"/>
      <c r="F8" s="170" t="s">
        <v>85</v>
      </c>
      <c r="G8" s="239" t="s">
        <v>154</v>
      </c>
      <c r="H8" s="138" t="s">
        <v>83</v>
      </c>
      <c r="I8" s="169"/>
      <c r="J8" s="272"/>
      <c r="K8" s="273"/>
    </row>
    <row r="9" spans="1:11" ht="44.25" customHeight="1">
      <c r="A9" s="101">
        <f t="shared" si="1"/>
        <v>37</v>
      </c>
      <c r="B9" s="81">
        <f>D8+3</f>
        <v>45908</v>
      </c>
      <c r="C9" s="82" t="s">
        <v>10</v>
      </c>
      <c r="D9" s="84">
        <f t="shared" si="0"/>
        <v>45912</v>
      </c>
      <c r="E9" s="168" t="s">
        <v>84</v>
      </c>
      <c r="F9" s="172" t="s">
        <v>155</v>
      </c>
      <c r="G9" s="144"/>
      <c r="H9" s="235" t="s">
        <v>156</v>
      </c>
      <c r="I9" s="169"/>
      <c r="J9" s="268" t="s">
        <v>89</v>
      </c>
      <c r="K9" s="273"/>
    </row>
    <row r="10" spans="1:11" ht="66.75" customHeight="1">
      <c r="A10" s="101">
        <f t="shared" si="1"/>
        <v>38</v>
      </c>
      <c r="B10" s="81">
        <f t="shared" si="2"/>
        <v>45915</v>
      </c>
      <c r="C10" s="82" t="s">
        <v>10</v>
      </c>
      <c r="D10" s="84">
        <f t="shared" si="0"/>
        <v>45919</v>
      </c>
      <c r="E10" s="243" t="s">
        <v>157</v>
      </c>
      <c r="F10" s="232" t="s">
        <v>158</v>
      </c>
      <c r="G10" s="144"/>
      <c r="H10" s="169"/>
      <c r="I10" s="118"/>
      <c r="J10" s="272" t="s">
        <v>159</v>
      </c>
      <c r="K10" s="273"/>
    </row>
    <row r="11" spans="1:11" ht="39.75" customHeight="1">
      <c r="A11" s="101">
        <f t="shared" si="1"/>
        <v>39</v>
      </c>
      <c r="B11" s="81">
        <f t="shared" si="2"/>
        <v>45922</v>
      </c>
      <c r="C11" s="82" t="s">
        <v>10</v>
      </c>
      <c r="D11" s="84">
        <f>B11+4</f>
        <v>45926</v>
      </c>
      <c r="E11" s="119" t="s">
        <v>91</v>
      </c>
      <c r="F11" s="126"/>
      <c r="G11" s="126"/>
      <c r="H11" s="127"/>
      <c r="I11" s="118"/>
      <c r="J11" s="274" t="s">
        <v>159</v>
      </c>
      <c r="K11" s="273"/>
    </row>
    <row r="12" spans="1:11" ht="30" customHeight="1">
      <c r="A12" s="101">
        <f t="shared" si="1"/>
        <v>40</v>
      </c>
      <c r="B12" s="81">
        <f>D11+3</f>
        <v>45929</v>
      </c>
      <c r="C12" s="82" t="s">
        <v>10</v>
      </c>
      <c r="D12" s="84">
        <f t="shared" si="0"/>
        <v>45933</v>
      </c>
      <c r="E12" s="118"/>
      <c r="F12" s="118"/>
      <c r="G12" s="128"/>
      <c r="H12" s="129"/>
      <c r="I12" s="130"/>
      <c r="J12" s="268" t="s">
        <v>92</v>
      </c>
      <c r="K12" s="280" t="s">
        <v>93</v>
      </c>
    </row>
    <row r="13" spans="1:11" ht="30" customHeight="1">
      <c r="A13" s="102">
        <f t="shared" si="1"/>
        <v>41</v>
      </c>
      <c r="B13" s="112">
        <f t="shared" si="2"/>
        <v>45936</v>
      </c>
      <c r="C13" s="113" t="s">
        <v>10</v>
      </c>
      <c r="D13" s="121">
        <f t="shared" si="0"/>
        <v>45940</v>
      </c>
      <c r="E13" s="169"/>
      <c r="F13" s="118"/>
      <c r="G13" s="285"/>
      <c r="H13" s="118"/>
      <c r="I13" s="285"/>
      <c r="J13" s="272"/>
      <c r="K13" s="276" t="s">
        <v>160</v>
      </c>
    </row>
    <row r="14" spans="1:11" ht="30" customHeight="1">
      <c r="A14" s="100">
        <f t="shared" si="1"/>
        <v>42</v>
      </c>
      <c r="B14" s="110">
        <f t="shared" si="2"/>
        <v>45943</v>
      </c>
      <c r="C14" s="111" t="s">
        <v>10</v>
      </c>
      <c r="D14" s="122">
        <f>B14+4</f>
        <v>45947</v>
      </c>
      <c r="E14" s="116" t="s">
        <v>95</v>
      </c>
      <c r="F14" s="116" t="s">
        <v>95</v>
      </c>
      <c r="G14" s="116" t="s">
        <v>95</v>
      </c>
      <c r="H14" s="116" t="s">
        <v>95</v>
      </c>
      <c r="I14" s="116" t="s">
        <v>95</v>
      </c>
      <c r="J14" s="272"/>
      <c r="K14" s="276" t="s">
        <v>160</v>
      </c>
    </row>
    <row r="15" spans="1:11" ht="30" customHeight="1">
      <c r="A15" s="101">
        <f t="shared" si="1"/>
        <v>43</v>
      </c>
      <c r="B15" s="81">
        <f>D14+3</f>
        <v>45950</v>
      </c>
      <c r="C15" s="82" t="s">
        <v>10</v>
      </c>
      <c r="D15" s="84">
        <f t="shared" si="0"/>
        <v>45954</v>
      </c>
      <c r="E15" s="186" t="s">
        <v>96</v>
      </c>
      <c r="F15" s="244" t="s">
        <v>154</v>
      </c>
      <c r="G15" s="155" t="s">
        <v>153</v>
      </c>
      <c r="H15" s="124"/>
      <c r="I15" s="164" t="s">
        <v>120</v>
      </c>
      <c r="J15" s="272"/>
      <c r="K15" s="277"/>
    </row>
    <row r="16" spans="1:11" ht="36.75" customHeight="1">
      <c r="A16" s="101">
        <f t="shared" si="1"/>
        <v>44</v>
      </c>
      <c r="B16" s="81">
        <f t="shared" si="2"/>
        <v>45957</v>
      </c>
      <c r="C16" s="82" t="s">
        <v>10</v>
      </c>
      <c r="D16" s="84">
        <f t="shared" si="0"/>
        <v>45961</v>
      </c>
      <c r="E16" s="249" t="s">
        <v>161</v>
      </c>
      <c r="F16" s="170" t="s">
        <v>85</v>
      </c>
      <c r="G16" s="252" t="s">
        <v>134</v>
      </c>
      <c r="H16" s="133"/>
      <c r="I16" s="245" t="s">
        <v>121</v>
      </c>
      <c r="J16" s="272"/>
      <c r="K16" s="276" t="s">
        <v>162</v>
      </c>
    </row>
    <row r="17" spans="1:11" ht="41.25" customHeight="1">
      <c r="A17" s="101">
        <f t="shared" si="1"/>
        <v>45</v>
      </c>
      <c r="B17" s="81">
        <f t="shared" si="2"/>
        <v>45964</v>
      </c>
      <c r="C17" s="83" t="s">
        <v>10</v>
      </c>
      <c r="D17" s="84">
        <f>B17+4</f>
        <v>45968</v>
      </c>
      <c r="E17" s="167"/>
      <c r="F17" s="290"/>
      <c r="G17" s="165" t="s">
        <v>84</v>
      </c>
      <c r="H17" s="169"/>
      <c r="I17" s="148" t="s">
        <v>89</v>
      </c>
      <c r="J17" s="272"/>
      <c r="K17" s="276" t="s">
        <v>141</v>
      </c>
    </row>
    <row r="18" spans="1:11" ht="42.75" customHeight="1">
      <c r="A18" s="101">
        <f t="shared" si="1"/>
        <v>46</v>
      </c>
      <c r="B18" s="81">
        <f t="shared" si="2"/>
        <v>45971</v>
      </c>
      <c r="C18" s="83" t="s">
        <v>10</v>
      </c>
      <c r="D18" s="84">
        <f t="shared" si="0"/>
        <v>45975</v>
      </c>
      <c r="E18" s="134"/>
      <c r="F18" s="172" t="s">
        <v>155</v>
      </c>
      <c r="G18" s="137"/>
      <c r="H18" s="235" t="s">
        <v>156</v>
      </c>
      <c r="I18" s="156" t="s">
        <v>163</v>
      </c>
      <c r="J18" s="272" t="s">
        <v>97</v>
      </c>
      <c r="K18" s="276" t="s">
        <v>141</v>
      </c>
    </row>
    <row r="19" spans="1:11" ht="30" customHeight="1">
      <c r="A19" s="101">
        <f t="shared" si="1"/>
        <v>47</v>
      </c>
      <c r="B19" s="81">
        <f>D18+3</f>
        <v>45978</v>
      </c>
      <c r="C19" s="83" t="s">
        <v>10</v>
      </c>
      <c r="D19" s="84">
        <f>B19+4</f>
        <v>45982</v>
      </c>
      <c r="E19" s="118"/>
      <c r="F19" s="147" t="s">
        <v>101</v>
      </c>
      <c r="G19" s="140"/>
      <c r="H19" s="116" t="s">
        <v>95</v>
      </c>
      <c r="I19" s="116" t="s">
        <v>95</v>
      </c>
      <c r="J19" s="272"/>
      <c r="K19" s="278"/>
    </row>
    <row r="20" spans="1:11" ht="30" customHeight="1">
      <c r="A20" s="101">
        <f t="shared" si="1"/>
        <v>48</v>
      </c>
      <c r="B20" s="81">
        <f t="shared" si="2"/>
        <v>45985</v>
      </c>
      <c r="C20" s="83" t="s">
        <v>10</v>
      </c>
      <c r="D20" s="84">
        <f t="shared" si="0"/>
        <v>45989</v>
      </c>
      <c r="E20" s="118"/>
      <c r="F20" s="133"/>
      <c r="G20" s="128"/>
      <c r="H20" s="132"/>
      <c r="I20" s="269" t="s">
        <v>164</v>
      </c>
      <c r="J20" s="275" t="s">
        <v>165</v>
      </c>
      <c r="K20" s="279" t="s">
        <v>165</v>
      </c>
    </row>
    <row r="21" spans="1:11" ht="30" customHeight="1">
      <c r="A21" s="101">
        <f t="shared" si="1"/>
        <v>49</v>
      </c>
      <c r="B21" s="81">
        <f t="shared" si="2"/>
        <v>45992</v>
      </c>
      <c r="C21" s="83" t="s">
        <v>10</v>
      </c>
      <c r="D21" s="84">
        <f>B21+4</f>
        <v>45996</v>
      </c>
      <c r="E21" s="118"/>
      <c r="F21" s="118"/>
      <c r="G21" s="118"/>
      <c r="H21" s="255" t="s">
        <v>166</v>
      </c>
      <c r="I21" s="118"/>
      <c r="J21" s="272"/>
      <c r="K21" s="273"/>
    </row>
    <row r="22" spans="1:11" ht="30" customHeight="1">
      <c r="A22" s="101">
        <f t="shared" si="1"/>
        <v>50</v>
      </c>
      <c r="B22" s="81">
        <f t="shared" si="2"/>
        <v>45999</v>
      </c>
      <c r="C22" s="83" t="s">
        <v>10</v>
      </c>
      <c r="D22" s="84">
        <f t="shared" si="0"/>
        <v>46003</v>
      </c>
      <c r="E22" s="136"/>
      <c r="F22" s="118"/>
      <c r="G22" s="128"/>
      <c r="H22" s="124"/>
      <c r="I22" s="118"/>
      <c r="J22" s="272"/>
      <c r="K22" s="273"/>
    </row>
    <row r="23" spans="1:11" ht="30" customHeight="1">
      <c r="A23" s="101">
        <f t="shared" si="1"/>
        <v>51</v>
      </c>
      <c r="B23" s="81">
        <f t="shared" si="2"/>
        <v>46006</v>
      </c>
      <c r="C23" s="141" t="s">
        <v>10</v>
      </c>
      <c r="D23" s="84">
        <f t="shared" si="0"/>
        <v>46010</v>
      </c>
      <c r="E23" s="136"/>
      <c r="F23" s="118"/>
      <c r="G23" s="125"/>
      <c r="H23" s="118" t="s">
        <v>103</v>
      </c>
      <c r="I23" s="142"/>
      <c r="J23" s="272"/>
      <c r="K23" s="273"/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45D0-E7EC-43E8-8509-D6E1742D3C42}">
  <dimension ref="B2:D6"/>
  <sheetViews>
    <sheetView workbookViewId="0">
      <selection activeCell="B3" sqref="B3:D3"/>
    </sheetView>
  </sheetViews>
  <sheetFormatPr defaultRowHeight="15"/>
  <cols>
    <col min="4" max="4" width="59.21875" customWidth="1"/>
  </cols>
  <sheetData>
    <row r="2" spans="2:4">
      <c r="B2" s="310" t="s">
        <v>167</v>
      </c>
      <c r="C2" s="310"/>
      <c r="D2" s="310"/>
    </row>
    <row r="3" spans="2:4" ht="90" customHeight="1">
      <c r="B3" s="308" t="s">
        <v>168</v>
      </c>
      <c r="C3" s="308"/>
      <c r="D3" s="308"/>
    </row>
    <row r="5" spans="2:4">
      <c r="B5" s="310" t="s">
        <v>169</v>
      </c>
      <c r="C5" s="310"/>
      <c r="D5" s="310"/>
    </row>
    <row r="6" spans="2:4" ht="57" customHeight="1">
      <c r="B6" s="309" t="s">
        <v>170</v>
      </c>
      <c r="C6" s="309"/>
      <c r="D6" s="309"/>
    </row>
  </sheetData>
  <mergeCells count="4">
    <mergeCell ref="B3:D3"/>
    <mergeCell ref="B6:D6"/>
    <mergeCell ref="B2:D2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2E66-5EA4-4289-9764-A214E5480539}">
  <dimension ref="A2:E15"/>
  <sheetViews>
    <sheetView workbookViewId="0">
      <selection activeCell="E2" sqref="E2"/>
    </sheetView>
  </sheetViews>
  <sheetFormatPr defaultRowHeight="15"/>
  <sheetData>
    <row r="2" spans="1:5">
      <c r="E2" s="89" t="s">
        <v>171</v>
      </c>
    </row>
    <row r="3" spans="1:5">
      <c r="A3" s="89" t="s">
        <v>171</v>
      </c>
      <c r="E3" s="90" t="s">
        <v>172</v>
      </c>
    </row>
    <row r="4" spans="1:5">
      <c r="A4" s="90" t="s">
        <v>172</v>
      </c>
      <c r="E4" s="91" t="s">
        <v>173</v>
      </c>
    </row>
    <row r="5" spans="1:5">
      <c r="A5" s="91" t="s">
        <v>173</v>
      </c>
      <c r="E5" s="91" t="s">
        <v>174</v>
      </c>
    </row>
    <row r="6" spans="1:5">
      <c r="A6" s="92" t="s">
        <v>174</v>
      </c>
      <c r="E6" s="93" t="s">
        <v>175</v>
      </c>
    </row>
    <row r="7" spans="1:5">
      <c r="A7" s="93" t="s">
        <v>175</v>
      </c>
      <c r="E7" s="94" t="s">
        <v>176</v>
      </c>
    </row>
    <row r="8" spans="1:5">
      <c r="A8" s="94" t="s">
        <v>176</v>
      </c>
      <c r="E8" s="95" t="s">
        <v>177</v>
      </c>
    </row>
    <row r="9" spans="1:5">
      <c r="A9" s="95" t="s">
        <v>177</v>
      </c>
      <c r="D9" s="87" t="s">
        <v>178</v>
      </c>
      <c r="E9" s="96" t="s">
        <v>179</v>
      </c>
    </row>
    <row r="10" spans="1:5">
      <c r="A10" s="96" t="s">
        <v>179</v>
      </c>
      <c r="D10" s="88" t="s">
        <v>180</v>
      </c>
      <c r="E10" s="97" t="s">
        <v>181</v>
      </c>
    </row>
    <row r="11" spans="1:5">
      <c r="A11" s="97" t="s">
        <v>181</v>
      </c>
      <c r="D11" s="85" t="s">
        <v>182</v>
      </c>
      <c r="E11" t="s">
        <v>183</v>
      </c>
    </row>
    <row r="12" spans="1:5" ht="31.5">
      <c r="A12" t="s">
        <v>183</v>
      </c>
      <c r="D12" s="86" t="s">
        <v>184</v>
      </c>
      <c r="E12" t="s">
        <v>185</v>
      </c>
    </row>
    <row r="13" spans="1:5">
      <c r="A13" t="s">
        <v>185</v>
      </c>
      <c r="E13" s="98" t="s">
        <v>186</v>
      </c>
    </row>
    <row r="14" spans="1:5">
      <c r="A14" s="98" t="s">
        <v>187</v>
      </c>
      <c r="E14" s="96" t="s">
        <v>188</v>
      </c>
    </row>
    <row r="15" spans="1:5">
      <c r="E15" s="107" t="s">
        <v>189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50952989EE004E8424ED574CE3D600" ma:contentTypeVersion="8" ma:contentTypeDescription="Create a new document." ma:contentTypeScope="" ma:versionID="24dcbae43ed54017b531a024c100e987">
  <xsd:schema xmlns:xsd="http://www.w3.org/2001/XMLSchema" xmlns:xs="http://www.w3.org/2001/XMLSchema" xmlns:p="http://schemas.microsoft.com/office/2006/metadata/properties" xmlns:ns2="42c2a207-496b-4f06-bcf8-3adb53286e27" targetNamespace="http://schemas.microsoft.com/office/2006/metadata/properties" ma:root="true" ma:fieldsID="cc0f956acd3ad124f295c9e00d457a51" ns2:_="">
    <xsd:import namespace="42c2a207-496b-4f06-bcf8-3adb53286e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2a207-496b-4f06-bcf8-3adb53286e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B17F39-4418-4177-8089-8329B3CEBD91}"/>
</file>

<file path=customXml/itemProps2.xml><?xml version="1.0" encoding="utf-8"?>
<ds:datastoreItem xmlns:ds="http://schemas.openxmlformats.org/officeDocument/2006/customXml" ds:itemID="{BAF216F3-1C68-4ACB-BEDC-80868D7F7B8D}"/>
</file>

<file path=customXml/itemProps3.xml><?xml version="1.0" encoding="utf-8"?>
<ds:datastoreItem xmlns:ds="http://schemas.openxmlformats.org/officeDocument/2006/customXml" ds:itemID="{5B517BA8-1CFC-49B2-9049-8CB32C820B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Uwe Brunn</dc:creator>
  <cp:keywords/>
  <dc:description/>
  <cp:lastModifiedBy>Carlos Luiz Silva Brener</cp:lastModifiedBy>
  <cp:revision/>
  <dcterms:created xsi:type="dcterms:W3CDTF">1998-02-12T12:06:05Z</dcterms:created>
  <dcterms:modified xsi:type="dcterms:W3CDTF">2025-11-24T13:34:53Z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0x0101007050952989EE004E8424ED574CE3D600</vt:lpwstr>
  </property>
  <property fmtid="{D5CDD505-2E9C-101B-9397-08002B2CF9AE}" pid="3" name="MediaServiceImageTags">
    <vt:lpwstr/>
  </property>
</Properties>
</file>